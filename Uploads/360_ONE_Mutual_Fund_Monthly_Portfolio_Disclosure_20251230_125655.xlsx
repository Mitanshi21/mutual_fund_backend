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/>
  <xr:revisionPtr revIDLastSave="0" documentId="13_ncr:1_{833E02E7-400E-47ED-BE6D-19C3ECD87739}" xr6:coauthVersionLast="47" xr6:coauthVersionMax="47" xr10:uidLastSave="{00000000-0000-0000-0000-000000000000}"/>
  <bookViews>
    <workbookView xWindow="-108" yWindow="-108" windowWidth="23256" windowHeight="12456" tabRatio="939" firstSheet="16" activeTab="32" xr2:uid="{00000000-000D-0000-FFFF-FFFF00000000}"/>
  </bookViews>
  <sheets>
    <sheet name="Index" sheetId="1" r:id="rId1"/>
    <sheet name="AXIS112" sheetId="2" r:id="rId2"/>
    <sheet name="AXIS113" sheetId="3" r:id="rId3"/>
    <sheet name="AXISASD" sheetId="5" r:id="rId4"/>
    <sheet name="AXISBDF" sheetId="7" r:id="rId5"/>
    <sheet name="AXISCBS" sheetId="10" r:id="rId6"/>
    <sheet name="AXISCDL" sheetId="11" r:id="rId7"/>
    <sheet name="AXISCFS" sheetId="13" r:id="rId8"/>
    <sheet name="AXISCIB" sheetId="15" r:id="rId9"/>
    <sheet name="AXISCIG" sheetId="16" r:id="rId10"/>
    <sheet name="AXISCOF" sheetId="17" r:id="rId11"/>
    <sheet name="AXISCSDL" sheetId="19" r:id="rId12"/>
    <sheet name="AXISDBF" sheetId="20" r:id="rId13"/>
    <sheet name="AXISFLO" sheetId="30" r:id="rId14"/>
    <sheet name="AXISFSD" sheetId="31" r:id="rId15"/>
    <sheet name="AXISIAP" sheetId="39" r:id="rId16"/>
    <sheet name="AXISIFD" sheetId="40" r:id="rId17"/>
    <sheet name="AXISIOF" sheetId="42" r:id="rId18"/>
    <sheet name="AXISISF" sheetId="43" r:id="rId19"/>
    <sheet name="AXISLDF" sheetId="44" r:id="rId20"/>
    <sheet name="AXISLFA" sheetId="45" r:id="rId21"/>
    <sheet name="AXISM10" sheetId="46" r:id="rId22"/>
    <sheet name="AXISMMF" sheetId="52" r:id="rId23"/>
    <sheet name="AXISNHS" sheetId="58" r:id="rId24"/>
    <sheet name="AXISONF" sheetId="65" r:id="rId25"/>
    <sheet name="AXISRCP" sheetId="69" r:id="rId26"/>
    <sheet name="AXISSDI" sheetId="72" r:id="rId27"/>
    <sheet name="AXISSDL" sheetId="73" r:id="rId28"/>
    <sheet name="AXISSETF" sheetId="74" r:id="rId29"/>
    <sheet name="AXISSTF" sheetId="79" r:id="rId30"/>
    <sheet name="AXISTAA" sheetId="80" r:id="rId31"/>
    <sheet name="AXISTDB" sheetId="82" r:id="rId32"/>
    <sheet name="AXISUSF" sheetId="85" r:id="rId33"/>
  </sheets>
  <definedNames>
    <definedName name="AxisAggressiveHybridFund">Index!#REF!</definedName>
    <definedName name="AxisArbitrageFund">Index!#REF!</definedName>
    <definedName name="AxisBalancedAdvantageFund">Index!#REF!</definedName>
    <definedName name="AxisBankingPSUDebtFund">Index!$B$5</definedName>
    <definedName name="AxisBSESensexETF">Index!#REF!</definedName>
    <definedName name="AxisBSESensexIndexFund">Index!#REF!</definedName>
    <definedName name="AxisBusinessCyclesFund">Index!#REF!</definedName>
    <definedName name="AxisChildrensFund">Index!#REF!</definedName>
    <definedName name="AxisConservativeHybridFund">Index!$B$19</definedName>
    <definedName name="AxisConsumptionFund">Index!#REF!</definedName>
    <definedName name="AxisCorporateBondFund">Index!$B$11</definedName>
    <definedName name="AxisCreditRiskFund">Index!$B$18</definedName>
    <definedName name="AxisCRISILIBX5050GiltPlusSDLJune2028IndexFund">Index!$B$9</definedName>
    <definedName name="AxisCRISILIBX5050GiltPlusSDLSep2027IndexFund">Index!$B$10</definedName>
    <definedName name="AxisCRISILIBXAAABondFinancialServicesSep2027IndexFund">Index!$B$8</definedName>
    <definedName name="AxisCRISILIBXAAABondNBFCHFCJun2027IndexFund">Index!$B$24</definedName>
    <definedName name="AxisCRISILIBXAAABondNBFCJun2027IndexFund">Index!$B$7</definedName>
    <definedName name="AxisCRISILIBXFinancialServices36MonthsDebtIndexFund">Index!$B$15</definedName>
    <definedName name="AxisCRISILIBXSDLJune2034DebtIndexFund">Index!$B$6</definedName>
    <definedName name="AxisCRISILIBXSDLMay2027IndexFund">Index!$B$12</definedName>
    <definedName name="AxisDynamicBondFund">Index!$B$13</definedName>
    <definedName name="AxisELSSTaxSaverFund">Index!#REF!</definedName>
    <definedName name="AxisEquitySavingsFund">Index!#REF!</definedName>
    <definedName name="AxisESGIntegrationStrategyFund">Index!#REF!</definedName>
    <definedName name="AxisFixedTermPlanSeries1121143Days">Index!$B$2</definedName>
    <definedName name="AxisFixedTermPlanSeries1131228Days">Index!$B$3</definedName>
    <definedName name="AxisFlexiCapFund">Index!#REF!</definedName>
    <definedName name="AxisFloaterFund">Index!$B$14</definedName>
    <definedName name="AxisFocusedFund">Index!#REF!</definedName>
    <definedName name="AxisGiltFund">Index!$B$22</definedName>
    <definedName name="AxisGlobalEquityAlphaFundofFund">Index!#REF!</definedName>
    <definedName name="AxisGlobalInnovationFundofFund">Index!#REF!</definedName>
    <definedName name="AxisGoldETF">Index!#REF!</definedName>
    <definedName name="AxisGoldFund">Index!#REF!</definedName>
    <definedName name="AxisGreaterChinaEquityFundofFund">Index!#REF!</definedName>
    <definedName name="AxisIncomePlusArbitrageActiveFOF">Index!$B$4</definedName>
    <definedName name="AxisIncomePlusArbitragePassiveFOF">Index!$B$16</definedName>
    <definedName name="AxisIndiaManufacturingFund">Index!#REF!</definedName>
    <definedName name="AxisInnovationFund">Index!#REF!</definedName>
    <definedName name="AxisLargeCapFund">Index!#REF!</definedName>
    <definedName name="AxisLargeMidCapFund">Index!#REF!</definedName>
    <definedName name="AxisLiquidFund">Index!$B$21</definedName>
    <definedName name="AxisLongDurationFund">Index!$B$20</definedName>
    <definedName name="AxisMidcapFund">Index!#REF!</definedName>
    <definedName name="AxisMomentumFund">Index!#REF!</definedName>
    <definedName name="AxisMoneyMarketFund">Index!$B$23</definedName>
    <definedName name="AxisMultiAssetActiveFoF">Index!#REF!</definedName>
    <definedName name="AxisMultiAssetAllocationFund">Index!#REF!</definedName>
    <definedName name="AxisMulticapFund">Index!#REF!</definedName>
    <definedName name="AxisMultiFactorPassiveFoF">Index!#REF!</definedName>
    <definedName name="AxisNifty100IndexFund">Index!#REF!</definedName>
    <definedName name="AxisNifty500IndexFund">Index!#REF!</definedName>
    <definedName name="AxisNifty500Momentum50IndexFund">Index!#REF!</definedName>
    <definedName name="AxisNifty500Quality50IndexFund">Index!#REF!</definedName>
    <definedName name="AxisNifty500Value50ETF">Index!#REF!</definedName>
    <definedName name="AxisNifty500Value50IndexFund">Index!#REF!</definedName>
    <definedName name="AxisNIFTY50ETF">Index!#REF!</definedName>
    <definedName name="AxisNifty50IndexFund">Index!#REF!</definedName>
    <definedName name="AxisNiftyAAABondPlusSDLApr20265050ETF">Index!$B$29</definedName>
    <definedName name="AxisNiftyAAABondPlusSDLApr20265050ETFFOF">Index!$B$28</definedName>
    <definedName name="AxisNIFTYBankETF">Index!#REF!</definedName>
    <definedName name="AxisNiftyBankIndexFund">Index!#REF!</definedName>
    <definedName name="AxisNIFTYHealthcareETF">Index!#REF!</definedName>
    <definedName name="AxisNIFTYIndiaConsumptionETF">Index!#REF!</definedName>
    <definedName name="AxisNIFTYITETF">Index!#REF!</definedName>
    <definedName name="AxisNiftyITIndexFund">Index!#REF!</definedName>
    <definedName name="AXISNIFTYMIDCAP50INDEXFUND">Index!#REF!</definedName>
    <definedName name="AxisNiftyNext50IndexFund">Index!#REF!</definedName>
    <definedName name="AxisNIFTYSDLSeptember2026DebtIndexFund">Index!$B$27</definedName>
    <definedName name="AXISNIFTYSMALLCAP50INDEXFUND">Index!#REF!</definedName>
    <definedName name="AxisOvernightFund">Index!$B$25</definedName>
    <definedName name="AxisQuantFund">Index!#REF!</definedName>
    <definedName name="AxisRetirementFundAggressivePlan">Index!#REF!</definedName>
    <definedName name="AxisRetirementFundConservativePlan">Index!$B$26</definedName>
    <definedName name="AxisRetirementFundDynamicPlan">Index!#REF!</definedName>
    <definedName name="AxisServicesOpportunitiesFund">Index!#REF!</definedName>
    <definedName name="AxisShortDurationFund">Index!$B$30</definedName>
    <definedName name="AxisSilverETF">Index!#REF!</definedName>
    <definedName name="AxisSilverFundofFund">Index!#REF!</definedName>
    <definedName name="AxisSmallCapFund">Index!#REF!</definedName>
    <definedName name="AxisStrategicBondFund">Index!$B$17</definedName>
    <definedName name="AxisTreasuryAdvantageFund">Index!$B$31</definedName>
    <definedName name="AxisUltraShortDurationFund">Index!$B$33</definedName>
    <definedName name="AxisUSSpecificEquityPassiveFOF">Index!#REF!</definedName>
    <definedName name="AxisUSSpecificTreasuryDynamicDebtPassiveFOF">Index!$B$32</definedName>
    <definedName name="AxisValueFund">Index!#REF!</definedName>
    <definedName name="Index">#REF!</definedName>
    <definedName name="JR_PAGE_ANCHOR_0_1">Index!$A$1</definedName>
    <definedName name="JR_PAGE_ANCHOR_0_10">AXISCBS!$A$1</definedName>
    <definedName name="JR_PAGE_ANCHOR_0_11">AXISCDL!$A$1</definedName>
    <definedName name="JR_PAGE_ANCHOR_0_12">#REF!</definedName>
    <definedName name="JR_PAGE_ANCHOR_0_13">AXISCFS!$A$1</definedName>
    <definedName name="JR_PAGE_ANCHOR_0_14">#REF!</definedName>
    <definedName name="JR_PAGE_ANCHOR_0_15">AXISCIB!$A$1</definedName>
    <definedName name="JR_PAGE_ANCHOR_0_16">AXISCIG!$A$1</definedName>
    <definedName name="JR_PAGE_ANCHOR_0_17">AXISCOF!$A$1</definedName>
    <definedName name="JR_PAGE_ANCHOR_0_18">#REF!</definedName>
    <definedName name="JR_PAGE_ANCHOR_0_19">AXISCSDL!$A$1</definedName>
    <definedName name="JR_PAGE_ANCHOR_0_2">AXIS112!$A$1</definedName>
    <definedName name="JR_PAGE_ANCHOR_0_20">AXISDBF!$A$1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AXIS113!$A$1</definedName>
    <definedName name="JR_PAGE_ANCHOR_0_30">AXISFLO!$A$1</definedName>
    <definedName name="JR_PAGE_ANCHOR_0_31">AXISFSD!$A$1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AXISIAP!$A$1</definedName>
    <definedName name="JR_PAGE_ANCHOR_0_4">#REF!</definedName>
    <definedName name="JR_PAGE_ANCHOR_0_40">AXISIFD!$A$1</definedName>
    <definedName name="JR_PAGE_ANCHOR_0_41">#REF!</definedName>
    <definedName name="JR_PAGE_ANCHOR_0_42">AXISIOF!$A$1</definedName>
    <definedName name="JR_PAGE_ANCHOR_0_43">AXISISF!$A$1</definedName>
    <definedName name="JR_PAGE_ANCHOR_0_44">AXISLDF!$A$1</definedName>
    <definedName name="JR_PAGE_ANCHOR_0_45">AXISLFA!$A$1</definedName>
    <definedName name="JR_PAGE_ANCHOR_0_46">AXISM10!$A$1</definedName>
    <definedName name="JR_PAGE_ANCHOR_0_47">#REF!</definedName>
    <definedName name="JR_PAGE_ANCHOR_0_48">#REF!</definedName>
    <definedName name="JR_PAGE_ANCHOR_0_49">#REF!</definedName>
    <definedName name="JR_PAGE_ANCHOR_0_5">AXISASD!$A$1</definedName>
    <definedName name="JR_PAGE_ANCHOR_0_50">#REF!</definedName>
    <definedName name="JR_PAGE_ANCHOR_0_51">#REF!</definedName>
    <definedName name="JR_PAGE_ANCHOR_0_52">AXISMMF!$A$1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AXISNHS!$A$1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AXISONF!$A$1</definedName>
    <definedName name="JR_PAGE_ANCHOR_0_66">#REF!</definedName>
    <definedName name="JR_PAGE_ANCHOR_0_67">#REF!</definedName>
    <definedName name="JR_PAGE_ANCHOR_0_68">#REF!</definedName>
    <definedName name="JR_PAGE_ANCHOR_0_69">AXISRCP!$A$1</definedName>
    <definedName name="JR_PAGE_ANCHOR_0_7">AXISBDF!$A$1</definedName>
    <definedName name="JR_PAGE_ANCHOR_0_70">#REF!</definedName>
    <definedName name="JR_PAGE_ANCHOR_0_71">#REF!</definedName>
    <definedName name="JR_PAGE_ANCHOR_0_72">AXISSDI!$A$1</definedName>
    <definedName name="JR_PAGE_ANCHOR_0_73">AXISSDL!$A$1</definedName>
    <definedName name="JR_PAGE_ANCHOR_0_74">AXISSETF!$A$1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AXISSTF!$A$1</definedName>
    <definedName name="JR_PAGE_ANCHOR_0_8">#REF!</definedName>
    <definedName name="JR_PAGE_ANCHOR_0_80">AXISTAA!$A$1</definedName>
    <definedName name="JR_PAGE_ANCHOR_0_81">#REF!</definedName>
    <definedName name="JR_PAGE_ANCHOR_0_82">AXISTDB!$A$1</definedName>
    <definedName name="JR_PAGE_ANCHOR_0_83">#REF!</definedName>
    <definedName name="JR_PAGE_ANCHOR_0_84">#REF!</definedName>
    <definedName name="JR_PAGE_ANCHOR_0_85">AXISUSF!$A$1</definedName>
    <definedName name="JR_PAGE_ANCHOR_0_86">#REF!</definedName>
    <definedName name="JR_PAGE_ANCHOR_0_87">#REF!</definedName>
    <definedName name="JR_PAGE_ANCHOR_0_9">#REF!</definedName>
  </definedNames>
  <calcPr calcId="191029"/>
</workbook>
</file>

<file path=xl/calcChain.xml><?xml version="1.0" encoding="utf-8"?>
<calcChain xmlns="http://schemas.openxmlformats.org/spreadsheetml/2006/main">
  <c r="K28" i="13" l="1"/>
  <c r="L28" i="13" s="1"/>
  <c r="K25" i="13"/>
  <c r="L25" i="13" s="1"/>
  <c r="K8" i="13"/>
  <c r="K9" i="13"/>
  <c r="K10" i="13"/>
  <c r="K11" i="13"/>
  <c r="L11" i="13" s="1"/>
  <c r="K12" i="13"/>
  <c r="K13" i="13"/>
  <c r="K14" i="13"/>
  <c r="L14" i="13" s="1"/>
  <c r="K15" i="13"/>
  <c r="K16" i="13"/>
  <c r="K17" i="13"/>
  <c r="K18" i="13"/>
  <c r="K19" i="13"/>
  <c r="K7" i="13"/>
  <c r="L7" i="13" s="1"/>
  <c r="L8" i="13"/>
  <c r="L9" i="13"/>
  <c r="L10" i="13"/>
  <c r="L12" i="13"/>
  <c r="L13" i="13"/>
  <c r="L15" i="13"/>
  <c r="L16" i="13"/>
  <c r="L17" i="13"/>
  <c r="L18" i="13"/>
  <c r="L19" i="13"/>
</calcChain>
</file>

<file path=xl/sharedStrings.xml><?xml version="1.0" encoding="utf-8"?>
<sst xmlns="http://schemas.openxmlformats.org/spreadsheetml/2006/main" count="7407" uniqueCount="3065">
  <si>
    <t>Sr No.</t>
  </si>
  <si>
    <t>Short Name</t>
  </si>
  <si>
    <t>Scheme Name</t>
  </si>
  <si>
    <t>Exchange</t>
  </si>
  <si>
    <t>AXIS112</t>
  </si>
  <si>
    <t>Axis Fixed Term Plan - Series 112 (1143 Days)</t>
  </si>
  <si>
    <t>AXIS113</t>
  </si>
  <si>
    <t>Axis Fixed Term Plan - Series 113 (1228 Days)</t>
  </si>
  <si>
    <t>AXISASD</t>
  </si>
  <si>
    <t>Axis Income Plus Arbitrage Active FOF</t>
  </si>
  <si>
    <t>AXISBDF</t>
  </si>
  <si>
    <t>Axis Banking &amp; PSU Debt Fund</t>
  </si>
  <si>
    <t>NSE</t>
  </si>
  <si>
    <t>AXISCBS</t>
  </si>
  <si>
    <t>Axis CRISIL IBX SDL June 2034 Debt Index Fund</t>
  </si>
  <si>
    <t>AXISCDL</t>
  </si>
  <si>
    <t>Axis CRISIL IBX AAA Bond NBFC Jun 2027 Index Fund</t>
  </si>
  <si>
    <t>AXISCFS</t>
  </si>
  <si>
    <t>Axis CRISIL-IBX AAA Bond Financial Services - Sep 2027 Index Fund</t>
  </si>
  <si>
    <t>AXISCIB</t>
  </si>
  <si>
    <t>Axis CRISIL IBX50:50 Gilt Plus SDL June 2028 Index Fund</t>
  </si>
  <si>
    <t>AXISCIG</t>
  </si>
  <si>
    <t>Axis CRISIL IBX50:50 Gilt Plus SDL Sep 2027 Index Fund</t>
  </si>
  <si>
    <t>AXISCOF</t>
  </si>
  <si>
    <t>Axis Corporate Bond Fund</t>
  </si>
  <si>
    <t>AXISCSDL</t>
  </si>
  <si>
    <t>Axis CRISIL IBX SDL May 2027 Index Fund</t>
  </si>
  <si>
    <t>AXISDBF</t>
  </si>
  <si>
    <t>Axis Dynamic Bond Fund</t>
  </si>
  <si>
    <t>AXISFLO</t>
  </si>
  <si>
    <t>Axis Floater Fund</t>
  </si>
  <si>
    <t>AXISFSD</t>
  </si>
  <si>
    <t>Axis CRISIL-IBX Financial Services 3-6 Months Debt Index Fund</t>
  </si>
  <si>
    <t>AXISIAP</t>
  </si>
  <si>
    <t>Axis Income Plus Arbitrage Passive FOF</t>
  </si>
  <si>
    <t>AXISIFD</t>
  </si>
  <si>
    <t>Axis Strategic Bond Fund</t>
  </si>
  <si>
    <t>AXISIOF</t>
  </si>
  <si>
    <t>Axis Credit Risk Fund</t>
  </si>
  <si>
    <t>AXISISF</t>
  </si>
  <si>
    <t>Axis Conservative Hybrid Fund</t>
  </si>
  <si>
    <t>AXISLDF</t>
  </si>
  <si>
    <t>Axis Long Duration Fund</t>
  </si>
  <si>
    <t>AXISLFA</t>
  </si>
  <si>
    <t>Axis Liquid Fund</t>
  </si>
  <si>
    <t>AXISM10</t>
  </si>
  <si>
    <t>Axis Gilt Fund</t>
  </si>
  <si>
    <t>AXISMMF</t>
  </si>
  <si>
    <t>Axis Money Market Fund</t>
  </si>
  <si>
    <t>AXISNHS</t>
  </si>
  <si>
    <t>Axis CRISIL-IBX AAA Bond NBFC-HFC - Jun 2027 Index Fund</t>
  </si>
  <si>
    <t>AXISONF</t>
  </si>
  <si>
    <t>Axis Overnight Fund</t>
  </si>
  <si>
    <t>AXISRCP</t>
  </si>
  <si>
    <t>Axis Retirement Fund - Conservative Plan</t>
  </si>
  <si>
    <t>AXISSDI</t>
  </si>
  <si>
    <t>Axis NIFTY SDL September 2026 Debt Index Fund</t>
  </si>
  <si>
    <t>AXISSDL</t>
  </si>
  <si>
    <t>Axis Nifty AAA Bond Plus SDL Apr 2026 50:50 ETF FOF</t>
  </si>
  <si>
    <t>AXISSETF</t>
  </si>
  <si>
    <t>Axis Nifty AAA Bond Plus SDL Apr 2026 50:50 ETF</t>
  </si>
  <si>
    <t>AXISSTF</t>
  </si>
  <si>
    <t>Axis Short Duration Fund</t>
  </si>
  <si>
    <t>AXISTAA</t>
  </si>
  <si>
    <t>Axis Treasury Advantage Fund</t>
  </si>
  <si>
    <t>AXISTDB</t>
  </si>
  <si>
    <t>Axis US Specific Treasury Dynamic Debt Passive FOF</t>
  </si>
  <si>
    <t>AXISUSF</t>
  </si>
  <si>
    <t>Axis Ultra Short Duration Fund</t>
  </si>
  <si>
    <t xml:space="preserve">
  </t>
  </si>
  <si>
    <t>Fortnightly Portfolio Statement as on December 15,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</si>
  <si>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</si>
  <si>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</si>
  <si>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</si>
  <si>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</si>
  <si>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</si>
  <si>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</si>
  <si>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</si>
  <si>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</si>
  <si>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</si>
  <si>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</si>
  <si>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GOI4656</t>
  </si>
  <si>
    <t>7.40% Government of India (19/03/2026)</t>
  </si>
  <si>
    <t>IN000326C040</t>
  </si>
  <si>
    <t>Sovereign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</si>
  <si>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</si>
  <si>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</si>
  <si>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</si>
  <si>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</si>
  <si>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</si>
  <si>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</si>
  <si>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</si>
  <si>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</si>
  <si>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TRP_161225</t>
  </si>
  <si>
    <t>Clearing Corporation of India Ltd</t>
  </si>
  <si>
    <t>$0.00%</t>
  </si>
  <si>
    <t>Net Receivables / (Payables)</t>
  </si>
  <si>
    <t>GRAND TOTAL</t>
  </si>
  <si>
    <t xml:space="preserve">$  Less Than 0.01% of Net Asset Value </t>
  </si>
  <si>
    <t>~ YTM as on December 15, 2025</t>
  </si>
  <si>
    <t>^ YTC represents Yield to Call provided by valuation agencies as on December 15,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</si>
  <si>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</si>
  <si>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MEDIUM TERM DEBT INDEX</t>
  </si>
  <si>
    <t>Scheme Risk-O-Meter</t>
  </si>
  <si>
    <t>Benchmark Risk-O-Meter</t>
  </si>
  <si>
    <t>Rating</t>
  </si>
  <si>
    <t>SIDB493</t>
  </si>
  <si>
    <t>7.59% Small Industries Dev Bank of India (10/02/2026) **</t>
  </si>
  <si>
    <t>INE556F08KG3</t>
  </si>
  <si>
    <t>CRISIL AAA</t>
  </si>
  <si>
    <t>IRLY366</t>
  </si>
  <si>
    <t>7.4% Indian Railway Finance Corporation Limited (18/04/2026) **</t>
  </si>
  <si>
    <t>INE053F08239</t>
  </si>
  <si>
    <t>NHBA321</t>
  </si>
  <si>
    <t>7.22% National Housing Bank (23/07/2026) **</t>
  </si>
  <si>
    <t>INE557F08FR8</t>
  </si>
  <si>
    <t>BPCL130</t>
  </si>
  <si>
    <t>7.58% Bharat Petroleum Corporation Limited (17/03/2026) **</t>
  </si>
  <si>
    <t>INE029A08073</t>
  </si>
  <si>
    <t>NBAR699</t>
  </si>
  <si>
    <t>7.57% National Bank For Agriculture and Rural Development (19/03/2026) **</t>
  </si>
  <si>
    <t>INE261F08DW2</t>
  </si>
  <si>
    <t>RECL429</t>
  </si>
  <si>
    <t>7.6% REC Limited (27/02/2026) **</t>
  </si>
  <si>
    <t>INE020B08EF4</t>
  </si>
  <si>
    <t>POWF487</t>
  </si>
  <si>
    <t>7.13% Power Finance Corporation Limited (15/07/2026) **</t>
  </si>
  <si>
    <t>INE134E08LP1</t>
  </si>
  <si>
    <t>LICH646</t>
  </si>
  <si>
    <t>8.1432% LIC Housing Finance Limited (25/03/2026) **</t>
  </si>
  <si>
    <t>INE115A07QG8</t>
  </si>
  <si>
    <t>TCFS648</t>
  </si>
  <si>
    <t>7.9873% Tata Capital Limited (17/04/2026) **</t>
  </si>
  <si>
    <t>INE306N07NH1</t>
  </si>
  <si>
    <t>BHFL96</t>
  </si>
  <si>
    <t>7.9237% Bajaj Housing Finance Limited (16/03/2026)</t>
  </si>
  <si>
    <t>INE377Y07375</t>
  </si>
  <si>
    <t>NTPC243</t>
  </si>
  <si>
    <t>7.35% NTPC Limited (17/04/2026) **</t>
  </si>
  <si>
    <t>INE733E08247</t>
  </si>
  <si>
    <t>NTPC108</t>
  </si>
  <si>
    <t>8.05% NTPC Limited (05/05/2026) **</t>
  </si>
  <si>
    <t>INE733E07KA6</t>
  </si>
  <si>
    <t>POWF512</t>
  </si>
  <si>
    <t>7.37% Power Finance Corporation Limited (22/05/2026) **</t>
  </si>
  <si>
    <t>INE134E08MO2</t>
  </si>
  <si>
    <t>**  Thinly Traded / Non Traded Security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</si>
  <si>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</si>
  <si>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</si>
  <si>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</si>
  <si>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</si>
  <si>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</si>
  <si>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</si>
  <si>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</si>
  <si>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</si>
  <si>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</si>
  <si>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</si>
  <si>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</si>
  <si>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</si>
  <si>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</si>
  <si>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</si>
  <si>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</si>
  <si>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</si>
  <si>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</si>
  <si>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</si>
  <si>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</si>
  <si>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</si>
  <si>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</si>
  <si>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</si>
  <si>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</si>
  <si>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</si>
  <si>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</si>
  <si>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</si>
  <si>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</si>
  <si>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</si>
  <si>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</si>
  <si>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</si>
  <si>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</si>
  <si>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</si>
  <si>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</si>
  <si>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</si>
  <si>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</si>
  <si>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</si>
  <si>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</si>
  <si>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</si>
  <si>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</si>
  <si>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</si>
  <si>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</si>
  <si>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</si>
  <si>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</si>
  <si>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</si>
  <si>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</si>
  <si>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</si>
  <si>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</si>
  <si>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</si>
  <si>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</si>
  <si>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</si>
  <si>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</si>
  <si>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</si>
  <si>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</si>
  <si>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</si>
  <si>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</si>
  <si>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</si>
  <si>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</si>
  <si>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</si>
  <si>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</si>
  <si>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</si>
  <si>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</si>
  <si>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</si>
  <si>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</si>
  <si>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</si>
  <si>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Power</t>
  </si>
  <si>
    <t>Transport Infrastructure</t>
  </si>
  <si>
    <t>TEMA02</t>
  </si>
  <si>
    <t>Tech Mahindra Limited</t>
  </si>
  <si>
    <t>INE669C01036</t>
  </si>
  <si>
    <t>Insurance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</si>
  <si>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</si>
  <si>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</si>
  <si>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</si>
  <si>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</si>
  <si>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</si>
  <si>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</si>
  <si>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</si>
  <si>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HDLI01</t>
  </si>
  <si>
    <t>HDFC Life Insurance Company Limited</t>
  </si>
  <si>
    <t>INE795G01014</t>
  </si>
  <si>
    <t>DIVI02</t>
  </si>
  <si>
    <t>Divi's Laboratories Limited</t>
  </si>
  <si>
    <t>INE361B01024</t>
  </si>
  <si>
    <t>Healthcare Services</t>
  </si>
  <si>
    <t>HERO02</t>
  </si>
  <si>
    <t>Hero MotoCorp Limited</t>
  </si>
  <si>
    <t>INE158A01026</t>
  </si>
  <si>
    <t>CHOL02</t>
  </si>
  <si>
    <t>Cholamandalam Investment and Finance Company Ltd</t>
  </si>
  <si>
    <t>INE121A01024</t>
  </si>
  <si>
    <t>APOL02</t>
  </si>
  <si>
    <t>Apollo Hospitals Enterprise Limited</t>
  </si>
  <si>
    <t>INE437A01024</t>
  </si>
  <si>
    <t>BRIT03</t>
  </si>
  <si>
    <t>Britannia Industries Limited</t>
  </si>
  <si>
    <t>INE216A01030</t>
  </si>
  <si>
    <t>BPCL01</t>
  </si>
  <si>
    <t>Bharat Petroleum Corporation Limited</t>
  </si>
  <si>
    <t>INE029A01011</t>
  </si>
  <si>
    <t>VNBL03</t>
  </si>
  <si>
    <t>Varun Beverages Limited</t>
  </si>
  <si>
    <t>INE200M01039</t>
  </si>
  <si>
    <t>Beverages</t>
  </si>
  <si>
    <t>Leisure Services</t>
  </si>
  <si>
    <t>LTIL01</t>
  </si>
  <si>
    <t>LTIMindtree Limited</t>
  </si>
  <si>
    <t>INE214T01019</t>
  </si>
  <si>
    <t>Auto Components</t>
  </si>
  <si>
    <t>BKBA02</t>
  </si>
  <si>
    <t>Bank of Baroda</t>
  </si>
  <si>
    <t>INE028A01039</t>
  </si>
  <si>
    <t>Agricultural, Commercial &amp; Construction Vehicles</t>
  </si>
  <si>
    <t>Realty</t>
  </si>
  <si>
    <t>Fertilizers &amp; Agrochemicals</t>
  </si>
  <si>
    <t>SUFI01</t>
  </si>
  <si>
    <t>Sundaram Finance Limited</t>
  </si>
  <si>
    <t>INE660A01013</t>
  </si>
  <si>
    <t>PIIN03</t>
  </si>
  <si>
    <t>PI Industries Limited</t>
  </si>
  <si>
    <t>INE603J01030</t>
  </si>
  <si>
    <t>MKIP01</t>
  </si>
  <si>
    <t>Mankind Pharma Limited</t>
  </si>
  <si>
    <t>INE634S01028</t>
  </si>
  <si>
    <t>SONB01</t>
  </si>
  <si>
    <t>Sona BLW Precision Forgings Limited</t>
  </si>
  <si>
    <t>INE073K01018</t>
  </si>
  <si>
    <t>LICO01</t>
  </si>
  <si>
    <t>Life Insurance Corporation Of India</t>
  </si>
  <si>
    <t>INE0J1Y01017</t>
  </si>
  <si>
    <t>ITHO02</t>
  </si>
  <si>
    <t>ITC Hotels Limited</t>
  </si>
  <si>
    <t>INE379A01028</t>
  </si>
  <si>
    <t>JBCH03</t>
  </si>
  <si>
    <t>JB Chemicals &amp; Pharmaceuticals Limited</t>
  </si>
  <si>
    <t>INE572A01036</t>
  </si>
  <si>
    <t>KWWA01</t>
  </si>
  <si>
    <t>INE2KCE01013</t>
  </si>
  <si>
    <t>(b) Unlisted</t>
  </si>
  <si>
    <t>Others</t>
  </si>
  <si>
    <t>Mutual Fund Units</t>
  </si>
  <si>
    <t>141588</t>
  </si>
  <si>
    <t>Axis Corporate Bond Fund - Direct Plan Growth</t>
  </si>
  <si>
    <t>INF846K01ZM8</t>
  </si>
  <si>
    <t>130773</t>
  </si>
  <si>
    <t>Axis Arbitrage Fund Direct Plan Growth</t>
  </si>
  <si>
    <t>INF846K01PZ1</t>
  </si>
  <si>
    <t>119526</t>
  </si>
  <si>
    <t>Aditya Birla Sun Life Arbitrage Fund - Growth - Direct Plan</t>
  </si>
  <si>
    <t>INF209K01VP1</t>
  </si>
  <si>
    <t>118814</t>
  </si>
  <si>
    <t>Nippon India Corporate Bond Fund - Direct Plan-Growth Plan</t>
  </si>
  <si>
    <t>INF204K01C15</t>
  </si>
  <si>
    <t>119771</t>
  </si>
  <si>
    <t>Kotak Arbitrage Fund - Growth - Direct</t>
  </si>
  <si>
    <t>INF174K01LC6</t>
  </si>
  <si>
    <t>119533</t>
  </si>
  <si>
    <t>Aditya Birla SL Corp Bond Fund(G)-Direct Plan</t>
  </si>
  <si>
    <t>INF209K01S38</t>
  </si>
  <si>
    <t>120447</t>
  </si>
  <si>
    <t>Axis Gilt Fund - Direct Plan - Growth Option</t>
  </si>
  <si>
    <t>INF846K01DD4</t>
  </si>
  <si>
    <t>120364</t>
  </si>
  <si>
    <t>INF109K016O4</t>
  </si>
  <si>
    <t>Benchmark Name - 65% NIFTY COMPOSITE DEBT INDEX +35% NIFTY 50 ARBITRAGE TRI</t>
  </si>
  <si>
    <t>Money Market Instruments</t>
  </si>
  <si>
    <t>Treasury Bill</t>
  </si>
  <si>
    <t>TBIL2599</t>
  </si>
  <si>
    <t>91 Days Tbill (MD 12/03/2026)</t>
  </si>
  <si>
    <t>IN002025X372</t>
  </si>
  <si>
    <t>Derivatives</t>
  </si>
  <si>
    <t>Interest Rate Swaps</t>
  </si>
  <si>
    <t>IRS1777282</t>
  </si>
  <si>
    <t>Interest Rate Swaps Pay Fix Receive Floating -ICISECPD (29/01/2030) (FV 2500 Lacs)</t>
  </si>
  <si>
    <t>IRS1837186</t>
  </si>
  <si>
    <t>Interest Rate Swaps Pay Fix Receive Floating -ICISECPD (06/03/2027) (FV 5000 Lacs)</t>
  </si>
  <si>
    <t>IRS1859283</t>
  </si>
  <si>
    <t>Interest Rate Swaps Pay Fix Receive Floating -ICISECPD (21/03/2027) (FV 7500 Lacs)</t>
  </si>
  <si>
    <t>IRS1843848</t>
  </si>
  <si>
    <t>Interest Rate Swaps Pay Fix Receive Floating -ICICI BANK (11/03/2027) (FV 10000 Lacs)</t>
  </si>
  <si>
    <t>EXIM736</t>
  </si>
  <si>
    <t>7.1% Export Import Bank of India (18/03/2026) **</t>
  </si>
  <si>
    <t>INE514E08GA6</t>
  </si>
  <si>
    <t>GOI6156</t>
  </si>
  <si>
    <t>6.79% Government of India (07/10/2034)</t>
  </si>
  <si>
    <t>IN0020240126</t>
  </si>
  <si>
    <t>GOI5228</t>
  </si>
  <si>
    <t>7.18% Government of India (14/08/2033)</t>
  </si>
  <si>
    <t>IN0020230085</t>
  </si>
  <si>
    <t>POWF541</t>
  </si>
  <si>
    <t>7.42% Power Finance Corporation Limited (15/04/2028) **</t>
  </si>
  <si>
    <t>INE134E08NL6</t>
  </si>
  <si>
    <t>RECL454</t>
  </si>
  <si>
    <t>7.59% REC Limited (31/05/2027) **</t>
  </si>
  <si>
    <t>INE020B08FA2</t>
  </si>
  <si>
    <t>NBAR796</t>
  </si>
  <si>
    <t>7.44% National Bank For Agriculture and Rural Development (24/02/2028) **</t>
  </si>
  <si>
    <t>INE261F08EK5</t>
  </si>
  <si>
    <t>SIDB573</t>
  </si>
  <si>
    <t>7.34% Small Industries Dev Bank of India (26/02/2029) **</t>
  </si>
  <si>
    <t>INE556F08KS8</t>
  </si>
  <si>
    <t>NBAR838</t>
  </si>
  <si>
    <t>7.48% National Bank For Agriculture and Rural Development (15/09/2028)</t>
  </si>
  <si>
    <t>INE261F08EO7</t>
  </si>
  <si>
    <t>NHBA337</t>
  </si>
  <si>
    <t>6.80% National Housing Bank (02/04/2032) **</t>
  </si>
  <si>
    <t>INE557F08GE4</t>
  </si>
  <si>
    <t>CARE AAA</t>
  </si>
  <si>
    <t>INBK359</t>
  </si>
  <si>
    <t>6.18% Indian Bank (13/01/2031) **</t>
  </si>
  <si>
    <t>INE562A08081</t>
  </si>
  <si>
    <t>PGCI464</t>
  </si>
  <si>
    <t>7.12% Power Grid Corporation of India Limited (24/12/2034) **</t>
  </si>
  <si>
    <t>INE752E08775</t>
  </si>
  <si>
    <t>RECL432</t>
  </si>
  <si>
    <t>7.69% REC Limited (31/03/2033) **</t>
  </si>
  <si>
    <t>INE020B08EG2</t>
  </si>
  <si>
    <t>SIDB591</t>
  </si>
  <si>
    <t>7.42% Small Industries Dev Bank of India (12/03/2029) **</t>
  </si>
  <si>
    <t>INE556F08KW0</t>
  </si>
  <si>
    <t>KOMP1746</t>
  </si>
  <si>
    <t>7.288% Kotak Mahindra Prime Limited (24/10/2028) **</t>
  </si>
  <si>
    <t>INE916DA7TE6</t>
  </si>
  <si>
    <t>NBAR867</t>
  </si>
  <si>
    <t>6.85% National Bank For Agriculture and Rural Development (19/01/2029) **</t>
  </si>
  <si>
    <t>INE261F08EQ2</t>
  </si>
  <si>
    <t>ICRA AAA</t>
  </si>
  <si>
    <t>SIDB488</t>
  </si>
  <si>
    <t>7.54% Small Industries Dev Bank of India (12/01/2026)</t>
  </si>
  <si>
    <t>INE556F08KF5</t>
  </si>
  <si>
    <t>NTPC166</t>
  </si>
  <si>
    <t>7.32% NTPC Limited (17/07/2029) **</t>
  </si>
  <si>
    <t>INE733E07KL3</t>
  </si>
  <si>
    <t>SIDB614</t>
  </si>
  <si>
    <t>6.66% Small Industries Dev Bank of India (25/10/2028) **</t>
  </si>
  <si>
    <t>INE556F08KZ3</t>
  </si>
  <si>
    <t>SIDB579</t>
  </si>
  <si>
    <t>7.51% Small Industries Dev Bank of India (12/06/2028) **</t>
  </si>
  <si>
    <t>INE556F08KU4</t>
  </si>
  <si>
    <t>NBAR805</t>
  </si>
  <si>
    <t>7.53% National Bank For Agriculture and Rural Development (24/03/2028) **</t>
  </si>
  <si>
    <t>INE261F08EM1</t>
  </si>
  <si>
    <t>SIDB539</t>
  </si>
  <si>
    <t>7.79% Small Industries Dev Bank of India (14/05/2027) **</t>
  </si>
  <si>
    <t>INE556F08KM1</t>
  </si>
  <si>
    <t>NHBA329</t>
  </si>
  <si>
    <t>7.59% National Housing Bank (14/07/2027) **</t>
  </si>
  <si>
    <t>INE557F08FY4</t>
  </si>
  <si>
    <t>PGCI463</t>
  </si>
  <si>
    <t>7.08% Power Grid Corporation of India Limited (25/10/2034)</t>
  </si>
  <si>
    <t>INE752E08767</t>
  </si>
  <si>
    <t>TCHF426</t>
  </si>
  <si>
    <t>7.123% Tata Capital Housing Finance Limited (21/07/2027) **</t>
  </si>
  <si>
    <t>INE033L07IO1</t>
  </si>
  <si>
    <t>RECL478</t>
  </si>
  <si>
    <t>6.60% REC Limited (30/06/2027) **</t>
  </si>
  <si>
    <t>INE020B08FZ9</t>
  </si>
  <si>
    <t>IRLY358</t>
  </si>
  <si>
    <t>6.92% Indian Railway Finance Corporation Limited (29/08/2031) **</t>
  </si>
  <si>
    <t>INE053F08122</t>
  </si>
  <si>
    <t>GOI4976</t>
  </si>
  <si>
    <t>7.26% Government of India (06/02/2033)</t>
  </si>
  <si>
    <t>IN0020220151</t>
  </si>
  <si>
    <t>NBAR780</t>
  </si>
  <si>
    <t>7.70% National Bank For Agriculture and Rural Development (30/09/2027) **</t>
  </si>
  <si>
    <t>INE261F08EI9</t>
  </si>
  <si>
    <t>MMFS1188</t>
  </si>
  <si>
    <t>8.18% Mahindra &amp; Mahindra Financial Services Limited (31/05/2029) **</t>
  </si>
  <si>
    <t>INE774D07VF8</t>
  </si>
  <si>
    <t>SIDB593</t>
  </si>
  <si>
    <t>7.49% Small Industries Dev Bank of India (11/06/2029) **</t>
  </si>
  <si>
    <t>INE556F08KX8</t>
  </si>
  <si>
    <t>SIDB543</t>
  </si>
  <si>
    <t>7.75% Small Industries Dev Bank of India (10/06/2027) **</t>
  </si>
  <si>
    <t>INE556F08KN9</t>
  </si>
  <si>
    <t>BAFL843</t>
  </si>
  <si>
    <t>7.90% Bajaj Finance Limited (13/04/2028)</t>
  </si>
  <si>
    <t>INE296A07SI8</t>
  </si>
  <si>
    <t>NHBA336</t>
  </si>
  <si>
    <t>7.35% National Housing Bank (02/01/2032) **</t>
  </si>
  <si>
    <t>INE557F08GD6</t>
  </si>
  <si>
    <t>NABA22</t>
  </si>
  <si>
    <t>7.43% National Bank For Financing Infrastructure And Development (04/07/2034) **</t>
  </si>
  <si>
    <t>INE0KUG08035</t>
  </si>
  <si>
    <t>HDBF345</t>
  </si>
  <si>
    <t>7.5519% HDB Financial Services Limited (04/04/2029) **</t>
  </si>
  <si>
    <t>INE756I07FE0</t>
  </si>
  <si>
    <t>POWF457</t>
  </si>
  <si>
    <t>7.68% Power Finance Corporation Limited (15/07/2030) **</t>
  </si>
  <si>
    <t>INE134E08KR9</t>
  </si>
  <si>
    <t>IRLY325</t>
  </si>
  <si>
    <t>8.23% Indian Railway Finance Corporation Limited (29/03/2029) **</t>
  </si>
  <si>
    <t>INE053F07BE7</t>
  </si>
  <si>
    <t>EXIM794</t>
  </si>
  <si>
    <t>7.35% Export Import Bank of India (27/07/2028)</t>
  </si>
  <si>
    <t>INE514E08GE8</t>
  </si>
  <si>
    <t>NBAR787</t>
  </si>
  <si>
    <t>7.64% National Bank For Agriculture and Rural Development (06/12/2029) **</t>
  </si>
  <si>
    <t>INE261F08EJ7</t>
  </si>
  <si>
    <t>RECL437</t>
  </si>
  <si>
    <t>7.46% REC Limited (30/06/2028) **</t>
  </si>
  <si>
    <t>INE020B08EK4</t>
  </si>
  <si>
    <t>POWF537</t>
  </si>
  <si>
    <t>7.40% Power Finance Corporation Limited (15/01/2030) **</t>
  </si>
  <si>
    <t>INE134E08NH4</t>
  </si>
  <si>
    <t>NHBA331</t>
  </si>
  <si>
    <t>7.59% National Housing Bank (08/09/2027) **</t>
  </si>
  <si>
    <t>INE557F08FZ1</t>
  </si>
  <si>
    <t>GOI6542</t>
  </si>
  <si>
    <t>7.04% Tamilnadu State Development Loans (19/03/2030)</t>
  </si>
  <si>
    <t>IN3120240707</t>
  </si>
  <si>
    <t>NXST22</t>
  </si>
  <si>
    <t>7.6937% Nexus Select Trust - REIT (28/05/2027) **</t>
  </si>
  <si>
    <t>INE0NDH07043</t>
  </si>
  <si>
    <t>RECL433</t>
  </si>
  <si>
    <t>7.51% REC Limited (31/07/2026)</t>
  </si>
  <si>
    <t>INE020B08EI8</t>
  </si>
  <si>
    <t>PGCI465</t>
  </si>
  <si>
    <t>6.94% Power Grid Corporation of India Limited (15/04/2035)</t>
  </si>
  <si>
    <t>INE752E08783</t>
  </si>
  <si>
    <t>RECL451</t>
  </si>
  <si>
    <t>7.64% REC Limited (30/04/2027) **</t>
  </si>
  <si>
    <t>INE020B08EX7</t>
  </si>
  <si>
    <t>TCHF375</t>
  </si>
  <si>
    <t>7.8% Tata Capital Housing Finance Limited (05/08/2027) **</t>
  </si>
  <si>
    <t>INE033L07HU0</t>
  </si>
  <si>
    <t>LICH651</t>
  </si>
  <si>
    <t>7.71% LIC Housing Finance Limited (09/05/2033)</t>
  </si>
  <si>
    <t>INE115A07QI4</t>
  </si>
  <si>
    <t>BAFL943</t>
  </si>
  <si>
    <t>7.7951% Bajaj Finance Limited (10/12/2027) **</t>
  </si>
  <si>
    <t>INE296A07TF2</t>
  </si>
  <si>
    <t>HDBF305</t>
  </si>
  <si>
    <t>HDB Financial Services Limited (13/01/2026) (ZCB) **</t>
  </si>
  <si>
    <t>INE756I07EK0</t>
  </si>
  <si>
    <t>RECL461</t>
  </si>
  <si>
    <t>7.56% REC Limited (31/08/2027)</t>
  </si>
  <si>
    <t>INE020B08FF1</t>
  </si>
  <si>
    <t>POWF498</t>
  </si>
  <si>
    <t>7.64% Power Finance Corporation Limited (22/02/2033) **</t>
  </si>
  <si>
    <t>INE134E08MA1</t>
  </si>
  <si>
    <t>HDBF262</t>
  </si>
  <si>
    <t>8.05% HDB Financial Services Limited (08/08/2029) **</t>
  </si>
  <si>
    <t>INE756I07EV7</t>
  </si>
  <si>
    <t>NBAR772</t>
  </si>
  <si>
    <t>7.62% National Bank For Agriculture and Rural Development (10/05/2029) **</t>
  </si>
  <si>
    <t>INE261F08EH1</t>
  </si>
  <si>
    <t>IRLY331</t>
  </si>
  <si>
    <t>7.48% Indian Railway Finance Corporation Limited (29/08/2034) **</t>
  </si>
  <si>
    <t>INE053F07BV1</t>
  </si>
  <si>
    <t>TCHF381</t>
  </si>
  <si>
    <t>8% Tata Capital Housing Finance Limited (03/11/2027) **</t>
  </si>
  <si>
    <t>INE033L07HY2</t>
  </si>
  <si>
    <t>HDFB914</t>
  </si>
  <si>
    <t>7.65% HDFC Bank Limited (25/05/2033) **</t>
  </si>
  <si>
    <t>INE040A08930</t>
  </si>
  <si>
    <t>EXIM761</t>
  </si>
  <si>
    <t>7.45% Export Import Bank of India (12/04/2028) **</t>
  </si>
  <si>
    <t>INE514E08GB4</t>
  </si>
  <si>
    <t>IRLY381</t>
  </si>
  <si>
    <t>7.44% Indian Railway Finance Corporation Limited (13/06/2034) **</t>
  </si>
  <si>
    <t>INE053F08395</t>
  </si>
  <si>
    <t>KOMP1680</t>
  </si>
  <si>
    <t>7.83% Kotak Mahindra Prime Limited (13/07/2028) **</t>
  </si>
  <si>
    <t>INE916DA7SJ7</t>
  </si>
  <si>
    <t>LICH656</t>
  </si>
  <si>
    <t>7.64% LIC Housing Finance Limited (26/07/2033) **</t>
  </si>
  <si>
    <t>INE115A07QL8</t>
  </si>
  <si>
    <t>POWF544</t>
  </si>
  <si>
    <t>7.40% Power Finance Corporation Limited (15/01/2035) **</t>
  </si>
  <si>
    <t>INE134E08NN2</t>
  </si>
  <si>
    <t>POWF542</t>
  </si>
  <si>
    <t>7.38% Power Finance Corporation Limited (15/01/2032)</t>
  </si>
  <si>
    <t>INE134E08NM4</t>
  </si>
  <si>
    <t>EXIM803</t>
  </si>
  <si>
    <t>7.12% Export Import Bank of India (27/06/2030) **</t>
  </si>
  <si>
    <t>INE514E08GF5</t>
  </si>
  <si>
    <t>IRLY303</t>
  </si>
  <si>
    <t>7.27% Indian Railway Finance Corporation Limited (15/06/2027) **</t>
  </si>
  <si>
    <t>INE053F07AB5</t>
  </si>
  <si>
    <t>RECL470</t>
  </si>
  <si>
    <t>7.32% REC Limited (28/02/2035)</t>
  </si>
  <si>
    <t>INE020B08FQ8</t>
  </si>
  <si>
    <t>TCHF422</t>
  </si>
  <si>
    <t>7.27% Tata Capital Housing Finance Limited (25/04/2028) **</t>
  </si>
  <si>
    <t>INE033L07IN3</t>
  </si>
  <si>
    <t>BHFL147</t>
  </si>
  <si>
    <t>7.10% Bajaj Housing Finance Limited (16/10/2028) **</t>
  </si>
  <si>
    <t>INE377Y07607</t>
  </si>
  <si>
    <t>LARS468</t>
  </si>
  <si>
    <t>7.20% Larsen &amp; Toubro Limited (22/01/2035) **</t>
  </si>
  <si>
    <t>INE018A08BM2</t>
  </si>
  <si>
    <t>BHAT86</t>
  </si>
  <si>
    <t>7.4% Bharti Telecom Limited (01/02/2029) **</t>
  </si>
  <si>
    <t>INE403D08298</t>
  </si>
  <si>
    <t>BHFL141</t>
  </si>
  <si>
    <t>6.97% Bajaj Housing Finance Limited (17/07/2028) **</t>
  </si>
  <si>
    <t>INE377Y07599</t>
  </si>
  <si>
    <t>NBAR860</t>
  </si>
  <si>
    <t>6.66% National Bank For Agriculture and Rural Development (12/10/2028) **</t>
  </si>
  <si>
    <t>INE261F08EP4</t>
  </si>
  <si>
    <t>POWF550</t>
  </si>
  <si>
    <t>6.61% Power Finance Corporation Limited (15/07/2028) **</t>
  </si>
  <si>
    <t>INE134E08NS1</t>
  </si>
  <si>
    <t>IRLY385</t>
  </si>
  <si>
    <t>7.15% Indian Railway Finance Corporation Limited (14/11/2039) **</t>
  </si>
  <si>
    <t>INE053F08437</t>
  </si>
  <si>
    <t>NBAR747</t>
  </si>
  <si>
    <t>7.68% National Bank For Agriculture and Rural Development (30/04/2029) **</t>
  </si>
  <si>
    <t>INE261F08EG3</t>
  </si>
  <si>
    <t>NHBA322</t>
  </si>
  <si>
    <t>7.4% National Housing Bank (16/07/2026) **</t>
  </si>
  <si>
    <t>INE557F08FS6</t>
  </si>
  <si>
    <t>IRLY318</t>
  </si>
  <si>
    <t>8.4% Indian Railway Finance Corporation Limited (08/01/2029) **</t>
  </si>
  <si>
    <t>INE053F07AZ4</t>
  </si>
  <si>
    <t>BHFL108</t>
  </si>
  <si>
    <t>7.85% Bajaj Housing Finance Limited (01/09/2028) **</t>
  </si>
  <si>
    <t>INE377Y07433</t>
  </si>
  <si>
    <t>NHBA335</t>
  </si>
  <si>
    <t>7.29% National Housing Bank (04/07/2031) **</t>
  </si>
  <si>
    <t>INE557F08GC8</t>
  </si>
  <si>
    <t>RECL407</t>
  </si>
  <si>
    <t>5.81% REC Limited (31/12/2025)</t>
  </si>
  <si>
    <t>INE020B08DH2</t>
  </si>
  <si>
    <t>HDBF329</t>
  </si>
  <si>
    <t>8.3439% HDB Financial Services Limited (05/07/2027)</t>
  </si>
  <si>
    <t>INE756I07EZ8</t>
  </si>
  <si>
    <t>GOI6435</t>
  </si>
  <si>
    <t>7.08% Karnataka State Development Loans (12/08/2031)</t>
  </si>
  <si>
    <t>IN1920240232</t>
  </si>
  <si>
    <t>IRLY360</t>
  </si>
  <si>
    <t>6.87% Indian Railway Finance Corporation Limited (14/04/2032) **</t>
  </si>
  <si>
    <t>INE053F08163</t>
  </si>
  <si>
    <t>IGIF43</t>
  </si>
  <si>
    <t>7.88% IndiGRID Infrastructure Trust (30/04/2029) **</t>
  </si>
  <si>
    <t>INE219X07439</t>
  </si>
  <si>
    <t>SIDB536</t>
  </si>
  <si>
    <t>7.83% Small Industries Dev Bank of India (24/11/2028) **</t>
  </si>
  <si>
    <t>INE556F08KL3</t>
  </si>
  <si>
    <t>HDFB934</t>
  </si>
  <si>
    <t>7.71% HDFC Bank Limited (20/12/2033) **</t>
  </si>
  <si>
    <t>INE040A08AJ4</t>
  </si>
  <si>
    <t>POWF526</t>
  </si>
  <si>
    <t>7.6% Power Finance Corporation Limited (13/04/2029) **</t>
  </si>
  <si>
    <t>INE134E08MX3</t>
  </si>
  <si>
    <t>RECL431</t>
  </si>
  <si>
    <t>7.77% REC Limited (31/03/2028) **</t>
  </si>
  <si>
    <t>INE020B08EH0</t>
  </si>
  <si>
    <t>RECL331</t>
  </si>
  <si>
    <t>7.70% REC Limited (10/12/2027) **</t>
  </si>
  <si>
    <t>INE020B08AQ9</t>
  </si>
  <si>
    <t>RECL426</t>
  </si>
  <si>
    <t>7.55% REC Limited (31/03/2028) **</t>
  </si>
  <si>
    <t>INE020B08EA5</t>
  </si>
  <si>
    <t>SIDB586</t>
  </si>
  <si>
    <t>7.48% Small Industries Dev Bank of India (24/05/2029) **</t>
  </si>
  <si>
    <t>INE556F08KV2</t>
  </si>
  <si>
    <t>NBAR695</t>
  </si>
  <si>
    <t>7.62% National Bank For Agriculture and Rural Development (31/01/2028) **</t>
  </si>
  <si>
    <t>INE261F08DV4</t>
  </si>
  <si>
    <t>SIDB553</t>
  </si>
  <si>
    <t>7.68% Small Industries Dev Bank of India (10/08/2027) **</t>
  </si>
  <si>
    <t>INE556F08KP4</t>
  </si>
  <si>
    <t>NUCL124</t>
  </si>
  <si>
    <t>7.25% Nuclear Power Corporation Of India Limited (15/12/2027) **</t>
  </si>
  <si>
    <t>INE206D08410</t>
  </si>
  <si>
    <t>NXST23</t>
  </si>
  <si>
    <t>7.7165% Nexus Select Trust - REIT (14/06/2028) **</t>
  </si>
  <si>
    <t>INE0NDH07035</t>
  </si>
  <si>
    <t>LICH652</t>
  </si>
  <si>
    <t>7.67% LIC Housing Finance Limited (15/04/2033) **</t>
  </si>
  <si>
    <t>INE115A07QK0</t>
  </si>
  <si>
    <t>NABA20</t>
  </si>
  <si>
    <t>7.43% National Bank For Financing Infrastructure And Development (16/06/2033) **</t>
  </si>
  <si>
    <t>INE0KUG08019</t>
  </si>
  <si>
    <t>GOI2440</t>
  </si>
  <si>
    <t>6.97% Karnataka State Development Loans (26/02/2030)</t>
  </si>
  <si>
    <t>IN1920190197</t>
  </si>
  <si>
    <t>POWF507</t>
  </si>
  <si>
    <t>7.70% Power Finance Corporation Limited (15/09/2026) **</t>
  </si>
  <si>
    <t>INE134E08MK0</t>
  </si>
  <si>
    <t>RECL439</t>
  </si>
  <si>
    <t>7.64% REC Limited (30/06/2026)</t>
  </si>
  <si>
    <t>INE020B08EM0</t>
  </si>
  <si>
    <t>BHFL123</t>
  </si>
  <si>
    <t>7.56% Bajaj Housing Finance Limited (04/10/2034) **</t>
  </si>
  <si>
    <t>INE377Y07516</t>
  </si>
  <si>
    <t>KOMP1745</t>
  </si>
  <si>
    <t>7.299% Kotak Mahindra Prime Limited (22/09/2028)</t>
  </si>
  <si>
    <t>INE916DA7TD8</t>
  </si>
  <si>
    <t>BAFL968</t>
  </si>
  <si>
    <t>7.55% Bajaj Finance Limited (03/04/2035) **</t>
  </si>
  <si>
    <t>INE296A07TH8</t>
  </si>
  <si>
    <t>BHFL132</t>
  </si>
  <si>
    <t>7.50% Bajaj Housing Finance Limited (09/04/2035) **</t>
  </si>
  <si>
    <t>INE377Y07540</t>
  </si>
  <si>
    <t>BHFL148</t>
  </si>
  <si>
    <t>6.95% Bajaj Housing Finance Limited (28/01/2028) **</t>
  </si>
  <si>
    <t>INE377Y07615</t>
  </si>
  <si>
    <t>SUFI762</t>
  </si>
  <si>
    <t>6.99% Sundaram Finance Limited (28/05/2027) **</t>
  </si>
  <si>
    <t>INE660A07RY4</t>
  </si>
  <si>
    <t>PGCI466</t>
  </si>
  <si>
    <t>6.98% Power Grid Corporation of India Limited (12/08/2035) **</t>
  </si>
  <si>
    <t>INE752E08791</t>
  </si>
  <si>
    <t>RECL479</t>
  </si>
  <si>
    <t>7.06% REC Limited (30/06/2035) **</t>
  </si>
  <si>
    <t>INE020B08GA0</t>
  </si>
  <si>
    <t>IRLY394</t>
  </si>
  <si>
    <t>6.58% Indian Railway Finance Corporation Limited (30/05/2030) **</t>
  </si>
  <si>
    <t>INE053F08528</t>
  </si>
  <si>
    <t>IRLY344</t>
  </si>
  <si>
    <t>6.73% Indian Railway Finance Corporation Limited (06/07/2035) **</t>
  </si>
  <si>
    <t>INE053F07CQ9</t>
  </si>
  <si>
    <t>SIDB570</t>
  </si>
  <si>
    <t>7.47% Small Industries Dev Bank of India (05/09/2029) **</t>
  </si>
  <si>
    <t>INE556F08KR0</t>
  </si>
  <si>
    <t>BHFL119</t>
  </si>
  <si>
    <t>8.1% Bajaj Housing Finance Limited (08/07/2027)</t>
  </si>
  <si>
    <t>INE377Y07482</t>
  </si>
  <si>
    <t>SUHF262</t>
  </si>
  <si>
    <t>7.9% Sundaram Home Finance Limited (24/09/2027) **</t>
  </si>
  <si>
    <t>INE667F07IV3</t>
  </si>
  <si>
    <t>GOI2255</t>
  </si>
  <si>
    <t>7.39% Maharashtra State Development Loans (03/07/2030)</t>
  </si>
  <si>
    <t>IN2220190036</t>
  </si>
  <si>
    <t>TCHF412</t>
  </si>
  <si>
    <t>7.86% Tata Capital Housing Finance Limited (21/09/2029) **</t>
  </si>
  <si>
    <t>INE033L07IJ1</t>
  </si>
  <si>
    <t>LTFL700</t>
  </si>
  <si>
    <t>8.24% L&amp;T Finance Limited (16/06/2027) **</t>
  </si>
  <si>
    <t>INE498L07038</t>
  </si>
  <si>
    <t>LICH676</t>
  </si>
  <si>
    <t>7.9265% LIC Housing Finance Limited (14/07/2027) **</t>
  </si>
  <si>
    <t>INE115A07QS3</t>
  </si>
  <si>
    <t>POWF386</t>
  </si>
  <si>
    <t>7.44% Power Finance Corporation Limited (11/06/2027) **</t>
  </si>
  <si>
    <t>INE134E08JC3</t>
  </si>
  <si>
    <t>HDFB865</t>
  </si>
  <si>
    <t>8.32% HDFC Bank Limited (04/05/2026) **</t>
  </si>
  <si>
    <t>INE040A08468</t>
  </si>
  <si>
    <t>POWF374</t>
  </si>
  <si>
    <t>7.10% Power Finance Corporation Limited (11/01/2027) **</t>
  </si>
  <si>
    <t>INE134E08IP7</t>
  </si>
  <si>
    <t>KOMP1682</t>
  </si>
  <si>
    <t>7.9% Kotak Mahindra Prime Limited (13/01/2026) **</t>
  </si>
  <si>
    <t>INE916DA7SB4</t>
  </si>
  <si>
    <t>GOI3968</t>
  </si>
  <si>
    <t>6.95% Rajasthan State Development Loans (10/02/2031)</t>
  </si>
  <si>
    <t>IN2920200655</t>
  </si>
  <si>
    <t>GOI3639</t>
  </si>
  <si>
    <t>5.74% Government of India (15/11/2026)</t>
  </si>
  <si>
    <t>IN0020210186</t>
  </si>
  <si>
    <t>NBAR803</t>
  </si>
  <si>
    <t>7.40 % National Bank For Agriculture and Rural Development (29/04/2030) **</t>
  </si>
  <si>
    <t>INE261F08EL3</t>
  </si>
  <si>
    <t>GOI1479</t>
  </si>
  <si>
    <t>8.53% Tamil Nadu State Development Loans (09/03/2026)</t>
  </si>
  <si>
    <t>IN3120150211</t>
  </si>
  <si>
    <t>GOI3006</t>
  </si>
  <si>
    <t>8.04% Chattisgarh State Development Loans (20/03/2026)</t>
  </si>
  <si>
    <t>IN3520180131</t>
  </si>
  <si>
    <t>KOMP1667</t>
  </si>
  <si>
    <t>8.255% Kotak Mahindra Prime Limited (22/06/2026) **</t>
  </si>
  <si>
    <t>INE916DA7SF5</t>
  </si>
  <si>
    <t>ENAM264</t>
  </si>
  <si>
    <t>8.30% Axis Finance Limited (26/12/2025) **</t>
  </si>
  <si>
    <t>INE891K07911</t>
  </si>
  <si>
    <t>GOI6900</t>
  </si>
  <si>
    <t>6.28% Government of India (14/07/2032)</t>
  </si>
  <si>
    <t>IN0020250059</t>
  </si>
  <si>
    <t>GOI2462</t>
  </si>
  <si>
    <t>5.79% Government of India (11/05/2030)</t>
  </si>
  <si>
    <t>IN0020200070</t>
  </si>
  <si>
    <t>GOI3103</t>
  </si>
  <si>
    <t>5.63% Government of India (12/04/2026)</t>
  </si>
  <si>
    <t>IN0020210012</t>
  </si>
  <si>
    <t>GOI6226</t>
  </si>
  <si>
    <t>6.92% Government of India (18/11/2039)</t>
  </si>
  <si>
    <t>IN0020240134</t>
  </si>
  <si>
    <t>TCFS681</t>
  </si>
  <si>
    <t>8.285% Tata Capital Limited (10/05/2027)</t>
  </si>
  <si>
    <t>INE976I07CT9</t>
  </si>
  <si>
    <t>GOI6320</t>
  </si>
  <si>
    <t>6.79% Government of India (30/12/2031)</t>
  </si>
  <si>
    <t>IN0020240191</t>
  </si>
  <si>
    <t>GOI7008</t>
  </si>
  <si>
    <t>7.54% Bihar State Development Loans (03/09/2033)</t>
  </si>
  <si>
    <t>IN1320250088</t>
  </si>
  <si>
    <t>GOI2122</t>
  </si>
  <si>
    <t>8.72% Tamilnadu State Development Loans (19/09/2026)</t>
  </si>
  <si>
    <t>IN3120180127</t>
  </si>
  <si>
    <t>GOI6580</t>
  </si>
  <si>
    <t>7.08% Andhra Pradesh State Development Loans (26/03/2037)</t>
  </si>
  <si>
    <t>IN1020240801</t>
  </si>
  <si>
    <t>MMFS1184</t>
  </si>
  <si>
    <t>8.25% Mahindra &amp; Mahindra Financial Services Limited (25/03/2027) **</t>
  </si>
  <si>
    <t>INE774D07VE1</t>
  </si>
  <si>
    <t>KMIL458</t>
  </si>
  <si>
    <t>Kotak Mahindra Investments Limited (29/01/2026) (ZCB) **</t>
  </si>
  <si>
    <t>INE975F07HV2</t>
  </si>
  <si>
    <t>IBCL1129</t>
  </si>
  <si>
    <t>6.67% ICICI Bank Limited (26/11/2028) **</t>
  </si>
  <si>
    <t>INE090A08UF5</t>
  </si>
  <si>
    <t>(c) Securitised Debt</t>
  </si>
  <si>
    <t>SHIU20</t>
  </si>
  <si>
    <t>Shivshakti Securitisation Trust (28/09/2029) **</t>
  </si>
  <si>
    <t>INE2I7G15010</t>
  </si>
  <si>
    <t>CRISIL AAA(SO)</t>
  </si>
  <si>
    <t>SIDI20</t>
  </si>
  <si>
    <t>Siddhivinayak Securitisation Trust (28/09/2030) **</t>
  </si>
  <si>
    <t>INE2I7F15012</t>
  </si>
  <si>
    <t>RADS20</t>
  </si>
  <si>
    <t>Radhakrishna Securitisation Trust (28/09/2028) **</t>
  </si>
  <si>
    <t>INE2I7H15018</t>
  </si>
  <si>
    <t>Certificate of Deposit</t>
  </si>
  <si>
    <t>BKBA523</t>
  </si>
  <si>
    <t>Bank of Baroda (24/02/2026) **</t>
  </si>
  <si>
    <t>INE028A16JJ3</t>
  </si>
  <si>
    <t>IND A1+</t>
  </si>
  <si>
    <t>INBK469</t>
  </si>
  <si>
    <t>Indian Bank (12/03/2026) **</t>
  </si>
  <si>
    <t>INE562A16OI3</t>
  </si>
  <si>
    <t>CRISIL A1+</t>
  </si>
  <si>
    <t>UNBI454</t>
  </si>
  <si>
    <t>Union Bank of India (01/06/2026) **</t>
  </si>
  <si>
    <t>INE692A16KH8</t>
  </si>
  <si>
    <t>NBAR817</t>
  </si>
  <si>
    <t>National Bank For Agriculture and Rural Development (04/02/2026) **</t>
  </si>
  <si>
    <t>INE261F16926</t>
  </si>
  <si>
    <t>BKBA511</t>
  </si>
  <si>
    <t>Bank of Baroda (06/03/2026) **</t>
  </si>
  <si>
    <t>INE028A16HW0</t>
  </si>
  <si>
    <t>CANB1046</t>
  </si>
  <si>
    <t>Canara Bank (18/03/2026) **</t>
  </si>
  <si>
    <t>INE476A16B64</t>
  </si>
  <si>
    <t>KMBK885</t>
  </si>
  <si>
    <t>Kotak Mahindra Bank Limited (19/03/2026) **</t>
  </si>
  <si>
    <t>INE237A168Z9</t>
  </si>
  <si>
    <t>EXIM802</t>
  </si>
  <si>
    <t>Export Import Bank of India (20/03/2026) **</t>
  </si>
  <si>
    <t>INE514E16CK7</t>
  </si>
  <si>
    <t>Alternative Investment Fund Units</t>
  </si>
  <si>
    <t>CDMD50ME</t>
  </si>
  <si>
    <t>SBI - Corporate Debt Market Development Fund (CDMDF) - Class A2</t>
  </si>
  <si>
    <t>INF0RQ622028</t>
  </si>
  <si>
    <t>ZCB - Zero Coupon Bond</t>
  </si>
  <si>
    <t>Benchmark Name - NIFTY BANKING &amp; PSU DEBT INDEX A-II</t>
  </si>
  <si>
    <t>GOI5731</t>
  </si>
  <si>
    <t>7.49% Tamilnadu State Development Loans (24/04/2034)</t>
  </si>
  <si>
    <t>IN3120240038</t>
  </si>
  <si>
    <t>GOI4457</t>
  </si>
  <si>
    <t>7.72% Maharashtra State Development Loans (25/05/2034)</t>
  </si>
  <si>
    <t>IN2220220072</t>
  </si>
  <si>
    <t>GOI4499</t>
  </si>
  <si>
    <t>7.94% Haryana State Development Loans (29/06/2034)</t>
  </si>
  <si>
    <t>IN1620220120</t>
  </si>
  <si>
    <t>GOI5825</t>
  </si>
  <si>
    <t>7.44% Tamilnadu State Development Loans (05/06/2034)</t>
  </si>
  <si>
    <t>IN3120240103</t>
  </si>
  <si>
    <t>GOI4473</t>
  </si>
  <si>
    <t>7.9% Andhra Pradesh State Development Loans (01/06/2034)</t>
  </si>
  <si>
    <t>IN1020220167</t>
  </si>
  <si>
    <t>GOI5763</t>
  </si>
  <si>
    <t>7.43% Tamilnadu State Development Loans (08/05/2034)</t>
  </si>
  <si>
    <t>IN3120240053</t>
  </si>
  <si>
    <t>GOI5585</t>
  </si>
  <si>
    <t>7.44% Karnataka State Development Loans (28/02/2034)</t>
  </si>
  <si>
    <t>IN1920230274</t>
  </si>
  <si>
    <r>
      <rPr>
        <b/>
        <sz val="9"/>
        <color rgb="FF000000"/>
        <rFont val="Arial"/>
        <family val="2"/>
      </rPr>
      <t>The DIRF score is 98.48 %</t>
    </r>
  </si>
  <si>
    <t>Benchmark Name - CRISIL IBX SDL INDEX - JUNE 2034</t>
  </si>
  <si>
    <t>KOMP739</t>
  </si>
  <si>
    <t>8.12% Kotak Mahindra Prime Limited (21/06/2027) **</t>
  </si>
  <si>
    <t>INE916DA7SU4</t>
  </si>
  <si>
    <t>BAFL973</t>
  </si>
  <si>
    <t>7.2337% Bajaj Finance Limited (28/06/2027) **</t>
  </si>
  <si>
    <t>INE296A07TK2</t>
  </si>
  <si>
    <t>LTFL704</t>
  </si>
  <si>
    <t>7.2092% L&amp;T Finance Limited (29/06/2027) **</t>
  </si>
  <si>
    <t>INE498L07137</t>
  </si>
  <si>
    <t>HDBF325</t>
  </si>
  <si>
    <t>8.3324% HDB Financial Services Limited (10/05/2027) **</t>
  </si>
  <si>
    <t>INE756I07EY1</t>
  </si>
  <si>
    <t>BGFL1093</t>
  </si>
  <si>
    <t>8.33% Aditya Birla Capital Limited (19/05/2027) **</t>
  </si>
  <si>
    <t>INE860H07IY4</t>
  </si>
  <si>
    <t>SUFI749</t>
  </si>
  <si>
    <t>8.12% Sundaram Finance Limited (21/06/2027) **</t>
  </si>
  <si>
    <t>INE660A07RT4</t>
  </si>
  <si>
    <t>HDBF349</t>
  </si>
  <si>
    <t>8.2378% HDB Financial Services Limited (06/04/2027) **</t>
  </si>
  <si>
    <t>INE756I07EX3</t>
  </si>
  <si>
    <t>KMIL510</t>
  </si>
  <si>
    <t>8.2366% Kotak Mahindra Investments Limited (27/05/2027) **</t>
  </si>
  <si>
    <t>INE975F07IQ0</t>
  </si>
  <si>
    <t>BAFL906</t>
  </si>
  <si>
    <t>8.1167% Bajaj Finance Limited (10/05/2027) **</t>
  </si>
  <si>
    <t>INE296A07SX7</t>
  </si>
  <si>
    <t>MMFS1206</t>
  </si>
  <si>
    <t>8% Mahindra &amp; Mahindra Financial Services Limited (27/04/2027) **</t>
  </si>
  <si>
    <t>INE774D07VJ0</t>
  </si>
  <si>
    <t>KMIL480</t>
  </si>
  <si>
    <t>8.1929% Kotak Mahindra Investments Limited (28/01/2027) **</t>
  </si>
  <si>
    <t>INE975F07IP2</t>
  </si>
  <si>
    <t>BAFL808</t>
  </si>
  <si>
    <t>7.70% Bajaj Finance Limited (07/06/2027) **</t>
  </si>
  <si>
    <t>INE296A07RZ4</t>
  </si>
  <si>
    <t>KMIL483</t>
  </si>
  <si>
    <t>8.3774% Kotak Mahindra Investments Limited (21/06/2027) **</t>
  </si>
  <si>
    <t>INE975F07IR8</t>
  </si>
  <si>
    <t>KOMP1694</t>
  </si>
  <si>
    <t>8.225% Kotak Mahindra Prime Limited (21/04/2027) **</t>
  </si>
  <si>
    <t>INE916DA7SO7</t>
  </si>
  <si>
    <t>BAFL883</t>
  </si>
  <si>
    <t>8.1% Bajaj Finance Limited (08/01/2027) **</t>
  </si>
  <si>
    <t>INE296A07SR9</t>
  </si>
  <si>
    <r>
      <rPr>
        <b/>
        <sz val="9"/>
        <color rgb="FF000000"/>
        <rFont val="Arial"/>
        <family val="2"/>
      </rPr>
      <t>The DIRF score is 79.82 %</t>
    </r>
  </si>
  <si>
    <t>Aggregate Investments by other schemes (At NAV)  as on December 15, 2025 RS 8718.01 Lakh's</t>
  </si>
  <si>
    <t>Benchmark Name - CRISIL IBX AAA NBFC INDEX - JUNE 2027</t>
  </si>
  <si>
    <t>HDBF303</t>
  </si>
  <si>
    <t>7.65% HDB Financial Services Limited (10/09/2027)</t>
  </si>
  <si>
    <t>INE756I07EJ2</t>
  </si>
  <si>
    <t>MMFS1158</t>
  </si>
  <si>
    <t>7.90% Mahindra &amp; Mahindra Financial Services Limited (30/08/2027) **</t>
  </si>
  <si>
    <t>INE774D07UM6</t>
  </si>
  <si>
    <t>BAFL926</t>
  </si>
  <si>
    <t>8.12% Bajaj Finance Limited (10/09/2027) **</t>
  </si>
  <si>
    <t>INE296A07TC9</t>
  </si>
  <si>
    <t>POWF490</t>
  </si>
  <si>
    <t>7.15% Power Finance Corporation Limited (08/09/2027) **</t>
  </si>
  <si>
    <t>INE134E08LT3</t>
  </si>
  <si>
    <r>
      <rPr>
        <b/>
        <sz val="9"/>
        <color rgb="FF000000"/>
        <rFont val="Arial"/>
        <family val="2"/>
      </rPr>
      <t>The DIRF score is 61.78 %</t>
    </r>
  </si>
  <si>
    <t>Benchmark Name - CRISIL-IBX AAA FINANCIAL SERVICES INDEX – SEP 2027</t>
  </si>
  <si>
    <t>CHOL06A</t>
  </si>
  <si>
    <t>Cholamandalam Investment and Finance Company Ltd (CCD)</t>
  </si>
  <si>
    <t>INE121A08PJ0</t>
  </si>
  <si>
    <t>BHHI01</t>
  </si>
  <si>
    <t>Indus Infra Trust</t>
  </si>
  <si>
    <t>INE0NHL23019</t>
  </si>
  <si>
    <t>TMLC01</t>
  </si>
  <si>
    <t>Tata Motors Ltd</t>
  </si>
  <si>
    <t>INE1TAE01010</t>
  </si>
  <si>
    <t>GOI5713</t>
  </si>
  <si>
    <t>7.1% Government of India (08/04/2034)</t>
  </si>
  <si>
    <t>IN0020240019</t>
  </si>
  <si>
    <t>SHTR529</t>
  </si>
  <si>
    <t>8.55% Shriram Finance Limited (28/04/2028) **</t>
  </si>
  <si>
    <t>INE721A07SP0</t>
  </si>
  <si>
    <t>CRISIL AA+</t>
  </si>
  <si>
    <t>GMRA43</t>
  </si>
  <si>
    <t>5% GMR Airports Limited (13/02/2027) **</t>
  </si>
  <si>
    <t>INE776C08083</t>
  </si>
  <si>
    <t>CRISIL A+</t>
  </si>
  <si>
    <t>SBAI201</t>
  </si>
  <si>
    <t>6.8% State Bank of India (21/08/2035) **</t>
  </si>
  <si>
    <t>INE062A08231</t>
  </si>
  <si>
    <t>HDFB916</t>
  </si>
  <si>
    <t>7.75% HDFC Bank Limited (13/06/2033) **</t>
  </si>
  <si>
    <t>INE040A08AF2</t>
  </si>
  <si>
    <t>SUCL21</t>
  </si>
  <si>
    <t>8.65% TVS Holdings Limited (07/06/2029) **</t>
  </si>
  <si>
    <t>INE105A08022</t>
  </si>
  <si>
    <t>BDFL20</t>
  </si>
  <si>
    <t>8.8% Aditya Birla Digital Fashion Ventures Limited (26/08/2027) **</t>
  </si>
  <si>
    <t>INE0M8D08016</t>
  </si>
  <si>
    <t>CRISIL AA-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</si>
  <si>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</si>
  <si>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</si>
  <si>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</si>
  <si>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</si>
  <si>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</si>
  <si>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</si>
  <si>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</si>
  <si>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</si>
  <si>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</si>
  <si>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</si>
  <si>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</si>
  <si>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</si>
  <si>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CCD - Compulsory Convertible Debenture</t>
  </si>
  <si>
    <t>#YTM as provided by valuation agencies for debt component</t>
  </si>
  <si>
    <t>GOI5077</t>
  </si>
  <si>
    <t>7.06% Government of India (10/04/2028)</t>
  </si>
  <si>
    <t>IN0020230010</t>
  </si>
  <si>
    <t>GOI2041</t>
  </si>
  <si>
    <t>8.05% Tamilnadu State Development Loans (18/04/2028)</t>
  </si>
  <si>
    <t>IN3120180010</t>
  </si>
  <si>
    <t>GOI2089</t>
  </si>
  <si>
    <t>8.15% Tamil Nadu State Development Loans (09/05/2028)</t>
  </si>
  <si>
    <t>IN3120180036</t>
  </si>
  <si>
    <t>GOI2008</t>
  </si>
  <si>
    <t>8.44% Rajasthan State Development Loans (07/03/2028)</t>
  </si>
  <si>
    <t>IN2920170189</t>
  </si>
  <si>
    <t>GOI4096</t>
  </si>
  <si>
    <t>8.16% Rajasthan State Development Loans (09/05/2028)</t>
  </si>
  <si>
    <t>IN2920180030</t>
  </si>
  <si>
    <t>GOI2039</t>
  </si>
  <si>
    <t>8% Kerala State Development Loans (11/04/2028)</t>
  </si>
  <si>
    <t>IN2020180013</t>
  </si>
  <si>
    <t>GOI6812</t>
  </si>
  <si>
    <t>6.73% Kerala State Development Loans (10/06/2028)</t>
  </si>
  <si>
    <t>IN2020200134</t>
  </si>
  <si>
    <r>
      <rPr>
        <b/>
        <sz val="9"/>
        <color rgb="FF000000"/>
        <rFont val="Arial"/>
        <family val="2"/>
      </rPr>
      <t>The DIRF score is 84.24 %</t>
    </r>
  </si>
  <si>
    <t>Benchmark Name - CRISIL IBX 50:50 GILT PLUS SDL - JUNE 2028 INDEX</t>
  </si>
  <si>
    <t>GOI4485</t>
  </si>
  <si>
    <t>7.38% Government of India (20/06/2027)</t>
  </si>
  <si>
    <t>IN0020220037</t>
  </si>
  <si>
    <t>GOI1976</t>
  </si>
  <si>
    <t>7.33% Maharashtra State Development Loans (13/09/2027)</t>
  </si>
  <si>
    <t>IN2220170103</t>
  </si>
  <si>
    <t>GOI2849</t>
  </si>
  <si>
    <t>7.23% Tamilnadu State Development Loans (14/06/2027)</t>
  </si>
  <si>
    <t>IN3120170045</t>
  </si>
  <si>
    <t>GOI1890</t>
  </si>
  <si>
    <t>7.24% Tamil Nadu State Development Loans (28/06/2027)</t>
  </si>
  <si>
    <t>IN3120170052</t>
  </si>
  <si>
    <t>GOI3570</t>
  </si>
  <si>
    <t>6.38% Maharashtra State Development Loans (25/08/2027)</t>
  </si>
  <si>
    <t>IN2220210230</t>
  </si>
  <si>
    <t>GOI1904</t>
  </si>
  <si>
    <t>7.2% Maharashtra State Development Loans (09/08/2027)</t>
  </si>
  <si>
    <t>IN2220170061</t>
  </si>
  <si>
    <t>GOI1908</t>
  </si>
  <si>
    <t>7.18% Tamilnadu State Development Loans (26/07/2027)</t>
  </si>
  <si>
    <t>IN3120170078</t>
  </si>
  <si>
    <r>
      <rPr>
        <b/>
        <sz val="9"/>
        <color rgb="FF000000"/>
        <rFont val="Arial"/>
        <family val="2"/>
      </rPr>
      <t>The DIRF score is 94.01 %</t>
    </r>
  </si>
  <si>
    <t>Benchmark Name - CRISIL IBX 50:50 GILT PLUS SDL INDEX - SEPTEMBER 2027</t>
  </si>
  <si>
    <t>GOI7094</t>
  </si>
  <si>
    <t>6.48% Government of India (06/10/2035)</t>
  </si>
  <si>
    <t>IN0020250091</t>
  </si>
  <si>
    <t>BHFL135</t>
  </si>
  <si>
    <t>7.02% Bajaj Housing Finance Limited (26/05/2028) **</t>
  </si>
  <si>
    <t>INE377Y07565</t>
  </si>
  <si>
    <t>BAFL974</t>
  </si>
  <si>
    <t>7.3763% Bajaj Finance Limited (26/06/2028)</t>
  </si>
  <si>
    <t>INE296A07TJ4</t>
  </si>
  <si>
    <t>ICBR642</t>
  </si>
  <si>
    <t>7.45% ICICI Securities Limited (24/11/2028) **</t>
  </si>
  <si>
    <t>INE763G08967</t>
  </si>
  <si>
    <t>IGIF45</t>
  </si>
  <si>
    <t>7.87% IndiGRID Infrastructure Trust (24/02/2027) **</t>
  </si>
  <si>
    <t>INE219X07454</t>
  </si>
  <si>
    <t>KOMP1733</t>
  </si>
  <si>
    <t>7.6% Kotak Mahindra Prime Limited (19/05/2028) **</t>
  </si>
  <si>
    <t>INE916DA7SZ3</t>
  </si>
  <si>
    <t>KHML20</t>
  </si>
  <si>
    <t>8% Kohima-Mariani Transmission Limited (30/06/2027) **</t>
  </si>
  <si>
    <t>INE483Z08012</t>
  </si>
  <si>
    <t>IND AAA</t>
  </si>
  <si>
    <t>SUMM27</t>
  </si>
  <si>
    <t>7.89% Summit Digitel Infrastructure Limited (30/04/2029) **</t>
  </si>
  <si>
    <t>INE507T07138</t>
  </si>
  <si>
    <t>POWF556</t>
  </si>
  <si>
    <t>6.73% Power Finance Corporation Limited (15/10/2027) **</t>
  </si>
  <si>
    <t>INE134E08NW3</t>
  </si>
  <si>
    <t>RJCO20</t>
  </si>
  <si>
    <t>7.25% RJ Corp Limited (08/12/2028) **</t>
  </si>
  <si>
    <t>INE460K08053</t>
  </si>
  <si>
    <t>RECL474</t>
  </si>
  <si>
    <t>6.52% REC Limited (31/01/2028)</t>
  </si>
  <si>
    <t>INE020B08FW6</t>
  </si>
  <si>
    <t>GOI6889</t>
  </si>
  <si>
    <t>6.68% Government of India (07/07/2040)</t>
  </si>
  <si>
    <t>IN0020250042</t>
  </si>
  <si>
    <t>TCAL511</t>
  </si>
  <si>
    <t>8.098% Tata Capital Limited (23/09/2027) **</t>
  </si>
  <si>
    <t>INE976I07CY9</t>
  </si>
  <si>
    <t>RECL457</t>
  </si>
  <si>
    <t>7.58% REC Limited (31/05/2029)</t>
  </si>
  <si>
    <t>INE020B08FD6</t>
  </si>
  <si>
    <t>BAFL730</t>
  </si>
  <si>
    <t>7.60% Bajaj Finance Limited (11/02/2030) **</t>
  </si>
  <si>
    <t>INE296A07RD1</t>
  </si>
  <si>
    <t>BHAT84</t>
  </si>
  <si>
    <t>7.45% Bharti Telecom Limited (15/12/2028) **</t>
  </si>
  <si>
    <t>INE403D08280</t>
  </si>
  <si>
    <t>LTMR58</t>
  </si>
  <si>
    <t>7.55% L&amp;T Metro Rail (Hyderabad) Limited (28/04/2035) **</t>
  </si>
  <si>
    <t>INE128M08094</t>
  </si>
  <si>
    <t>CRISIL AAA(CE)</t>
  </si>
  <si>
    <t>IRLY323</t>
  </si>
  <si>
    <t>8.35% Indian Railway Finance Corporation Limited (13/03/2029) **</t>
  </si>
  <si>
    <t>INE053F07BC1</t>
  </si>
  <si>
    <t>SIDB547</t>
  </si>
  <si>
    <t>7.68% Small Industries Dev Bank of India (09/07/2027) **</t>
  </si>
  <si>
    <t>INE556F08KO7</t>
  </si>
  <si>
    <t>IRLY320</t>
  </si>
  <si>
    <t>8.55% Indian Railway Finance Corporation Limited (21/02/2029) **</t>
  </si>
  <si>
    <t>INE053F07BA5</t>
  </si>
  <si>
    <t>GOI7213</t>
  </si>
  <si>
    <t>7.5% West Bengal State Development Loans (03/12/2037)</t>
  </si>
  <si>
    <t>IN3420250166</t>
  </si>
  <si>
    <t>BHAT87</t>
  </si>
  <si>
    <t>7.3% Bharti Telecom Limited (01/12/2027)</t>
  </si>
  <si>
    <t>INE403D08306</t>
  </si>
  <si>
    <t>POWF462</t>
  </si>
  <si>
    <t>7.75% Power Finance Corporation Limited (11/06/2030) **</t>
  </si>
  <si>
    <t>INE134E08KV1</t>
  </si>
  <si>
    <t>LARS419</t>
  </si>
  <si>
    <t>7.725% Larsen &amp; Toubro Limited (28/04/2028) **</t>
  </si>
  <si>
    <t>INE018A08BE9</t>
  </si>
  <si>
    <t>SUHF272</t>
  </si>
  <si>
    <t>7.15% Sundaram Home Finance Limited (16/05/2028) **</t>
  </si>
  <si>
    <t>INE667F07JB3</t>
  </si>
  <si>
    <t>TCHF396</t>
  </si>
  <si>
    <t>8.1% Tata Capital Housing Finance Limited (13/12/2028) **</t>
  </si>
  <si>
    <t>INE033L07IB8</t>
  </si>
  <si>
    <t>IGIF42</t>
  </si>
  <si>
    <t>7.85% IndiGRID Infrastructure Trust (28/02/2028) **</t>
  </si>
  <si>
    <t>INE219X07363</t>
  </si>
  <si>
    <t>LICH663</t>
  </si>
  <si>
    <t>7.69% LIC Housing Finance Limited (06/02/2034) **</t>
  </si>
  <si>
    <t>INE115A07QN4</t>
  </si>
  <si>
    <t>POWF546</t>
  </si>
  <si>
    <t>7.45% Power Finance Corporation Limited (15/07/2028) **</t>
  </si>
  <si>
    <t>INE134E08NP7</t>
  </si>
  <si>
    <t>BHFL125</t>
  </si>
  <si>
    <t>7.66% Bajaj Housing Finance Limited (20/03/2028) **</t>
  </si>
  <si>
    <t>INE377Y07532</t>
  </si>
  <si>
    <t>GOI7202</t>
  </si>
  <si>
    <t>7.49% punjab State Development Loans (03/12/2035)</t>
  </si>
  <si>
    <t>IN2820250149</t>
  </si>
  <si>
    <t>IGIF46</t>
  </si>
  <si>
    <t>7.04% IndiGRID Infrastructure Trust (27/09/2028) **</t>
  </si>
  <si>
    <t>INE219X07512</t>
  </si>
  <si>
    <t>SUFI768</t>
  </si>
  <si>
    <t>7.05% Sundaram Finance Limited (11/10/2028) **</t>
  </si>
  <si>
    <t>INE660A07SA2</t>
  </si>
  <si>
    <t>TCHF371</t>
  </si>
  <si>
    <t>7.75% Tata Capital Housing Finance Limited (18/05/2027) **</t>
  </si>
  <si>
    <t>INE033L07HQ8</t>
  </si>
  <si>
    <t>MMFS1194</t>
  </si>
  <si>
    <t>8.01% Mahindra &amp; Mahindra Financial Services Limited (24/12/2027) **</t>
  </si>
  <si>
    <t>INE774D07VG6</t>
  </si>
  <si>
    <t>HDBF333</t>
  </si>
  <si>
    <t>7.9611% HDB Financial Services Limited (05/01/2028) **</t>
  </si>
  <si>
    <t>INE756I07FB6</t>
  </si>
  <si>
    <t>TCFS633</t>
  </si>
  <si>
    <t>7.89% Tata Capital Limited (26/07/2027) **</t>
  </si>
  <si>
    <t>INE306N07MX0</t>
  </si>
  <si>
    <t>PGCI455</t>
  </si>
  <si>
    <t>7.52% Power Grid Corporation of India Limited (23/03/2033) **</t>
  </si>
  <si>
    <t>INE752E08684</t>
  </si>
  <si>
    <t>PGCI458</t>
  </si>
  <si>
    <t>7.7% Power Grid Corporation of India Limited (12/10/2033) **</t>
  </si>
  <si>
    <t>INE752E08718</t>
  </si>
  <si>
    <t>NUCL133</t>
  </si>
  <si>
    <t>7.7% Nuclear Power Corporation Of India Limited (21/03/2038) **</t>
  </si>
  <si>
    <t>INE206D08501</t>
  </si>
  <si>
    <t>LICH403</t>
  </si>
  <si>
    <t>7.56% LIC Housing Finance Limited (14/06/2027) **</t>
  </si>
  <si>
    <t>INE115A07MC6</t>
  </si>
  <si>
    <t>TCHF401</t>
  </si>
  <si>
    <t>8.1% Tata Capital Housing Finance Limited (19/02/2027) **</t>
  </si>
  <si>
    <t>INE033L07IE2</t>
  </si>
  <si>
    <t>TCHF425</t>
  </si>
  <si>
    <t>7.17% Tata Capital Housing Finance Limited (21/05/2030) **</t>
  </si>
  <si>
    <t>INE033L07IP8</t>
  </si>
  <si>
    <t>RUPL50</t>
  </si>
  <si>
    <t>7.90% Jamnagar Utilities &amp; Power Private Limited (10/08/2028)</t>
  </si>
  <si>
    <t>INE936D07182</t>
  </si>
  <si>
    <t>BAFL914</t>
  </si>
  <si>
    <t>7.82% Bajaj Finance Limited (31/01/2034) **</t>
  </si>
  <si>
    <t>INE296A07SV1</t>
  </si>
  <si>
    <t>KOMP1665</t>
  </si>
  <si>
    <t>8.05% Kotak Mahindra Prime Limited (28/02/2028) **</t>
  </si>
  <si>
    <t>INE916DA7SE8</t>
  </si>
  <si>
    <t>TCHF414</t>
  </si>
  <si>
    <t>7.712% Tata Capital Housing Finance Limited (14/01/2028) **</t>
  </si>
  <si>
    <t>INE033L07IK9</t>
  </si>
  <si>
    <t>KOMP1699</t>
  </si>
  <si>
    <t>8.135% Kotak Mahindra Prime Limited (10/02/2027) **</t>
  </si>
  <si>
    <t>INE916DA7SR0</t>
  </si>
  <si>
    <t>PIPE23</t>
  </si>
  <si>
    <t>7.96% Pipeline Infrastructure Private Limited (11/03/2027) **</t>
  </si>
  <si>
    <t>INE01XX07059</t>
  </si>
  <si>
    <t>POWF372</t>
  </si>
  <si>
    <t>7.60% Power Finance Corporation Limited (20/02/2027) **</t>
  </si>
  <si>
    <t>INE134E08IT9</t>
  </si>
  <si>
    <t>LICH696</t>
  </si>
  <si>
    <t>7.58% LIC Housing Finance Limited (23/03/2035) **</t>
  </si>
  <si>
    <t>INE115A07RF8</t>
  </si>
  <si>
    <t>RECL421</t>
  </si>
  <si>
    <t>6.92% REC Limited (20/03/2032) **</t>
  </si>
  <si>
    <t>INE020B08DV3</t>
  </si>
  <si>
    <t>POWF485</t>
  </si>
  <si>
    <t>6.92% Power Finance Corporation Limited (14/04/2032) **</t>
  </si>
  <si>
    <t>INE134E08LN6</t>
  </si>
  <si>
    <t>BAFL779</t>
  </si>
  <si>
    <t>7.02% Bajaj Finance Limited (18/04/2031) **</t>
  </si>
  <si>
    <t>INE296A07RS9</t>
  </si>
  <si>
    <t>NBAR576</t>
  </si>
  <si>
    <t>6.65% National Bank For Agriculture and Rural Development (25/05/2035) **</t>
  </si>
  <si>
    <t>INE261F08CE2</t>
  </si>
  <si>
    <t>GOI4750</t>
  </si>
  <si>
    <t>7.36% Government of India (12/09/2027)</t>
  </si>
  <si>
    <t>IN000927C052</t>
  </si>
  <si>
    <t>HDBF346</t>
  </si>
  <si>
    <t>7.4091% HDB Financial Services Limited (05/06/2028) **</t>
  </si>
  <si>
    <t>INE756I07FG5</t>
  </si>
  <si>
    <t>PGCI453</t>
  </si>
  <si>
    <t>7.40% Power Grid Corporation of India Limited (17/02/2033) **</t>
  </si>
  <si>
    <t>INE752E08676</t>
  </si>
  <si>
    <t>GOI6960</t>
  </si>
  <si>
    <t>7.24% Government of India (18/08/2055)</t>
  </si>
  <si>
    <t>IN0020250075</t>
  </si>
  <si>
    <t>GOI6103</t>
  </si>
  <si>
    <t>Government of India (05/08/2027)</t>
  </si>
  <si>
    <t>IN000827C039</t>
  </si>
  <si>
    <t>GOI6000</t>
  </si>
  <si>
    <t>Government of India (06/05/2028)</t>
  </si>
  <si>
    <t>IN000528C025</t>
  </si>
  <si>
    <t>GOI5196</t>
  </si>
  <si>
    <t>7.18% Government of India (24/07/2037)</t>
  </si>
  <si>
    <t>IN0020230077</t>
  </si>
  <si>
    <t>BAFL891</t>
  </si>
  <si>
    <t>7.87% Bajaj Finance Limited (08/02/2034) **</t>
  </si>
  <si>
    <t>INE296A07SU3</t>
  </si>
  <si>
    <t>POWF496</t>
  </si>
  <si>
    <t>7.59% Power Finance Corporation Limited (17/01/2028) **</t>
  </si>
  <si>
    <t>INE134E08LX5</t>
  </si>
  <si>
    <t>SIDB566</t>
  </si>
  <si>
    <t>7.68% Small Industries Dev Bank of India (10/09/2027) **</t>
  </si>
  <si>
    <t>INE556F08KQ2</t>
  </si>
  <si>
    <t>GOI5081</t>
  </si>
  <si>
    <t>7.17% Government of India (17/04/2030)</t>
  </si>
  <si>
    <t>IN0020230036</t>
  </si>
  <si>
    <t>GOI6703</t>
  </si>
  <si>
    <t>6.33% Government of India (05/05/2035)</t>
  </si>
  <si>
    <t>IN0020250026</t>
  </si>
  <si>
    <t>GOI5137</t>
  </si>
  <si>
    <t>7.25% Government of India (12/06/2063)</t>
  </si>
  <si>
    <t>IN0020230044</t>
  </si>
  <si>
    <t>GOI6638</t>
  </si>
  <si>
    <t>6.9% Government of India (15/04/2065)</t>
  </si>
  <si>
    <t>IN0020250018</t>
  </si>
  <si>
    <t>GOI5379</t>
  </si>
  <si>
    <t>7.32% Government of India (13/11/2030)</t>
  </si>
  <si>
    <t>IN0020230135</t>
  </si>
  <si>
    <t>GOI1530</t>
  </si>
  <si>
    <t>8.21% Haryana UDAY BOND(31/03/2026)</t>
  </si>
  <si>
    <t>IN1620150186</t>
  </si>
  <si>
    <t>GOI4584</t>
  </si>
  <si>
    <t>7.26% Government of India (22/08/2032)</t>
  </si>
  <si>
    <t>IN0020220060</t>
  </si>
  <si>
    <t>GOI5336</t>
  </si>
  <si>
    <t>7.37% Government of India (23/10/2028)</t>
  </si>
  <si>
    <t>IN0020230101</t>
  </si>
  <si>
    <t>GOI3727</t>
  </si>
  <si>
    <t>7.29% Karnataka State Development Loans (12/01/2034)</t>
  </si>
  <si>
    <t>IN1920210250</t>
  </si>
  <si>
    <t>GOI7207</t>
  </si>
  <si>
    <t>7.49% TELANGANA State Development Loans (03/12/2039)</t>
  </si>
  <si>
    <t>IN4520250569</t>
  </si>
  <si>
    <t>IUNT22</t>
  </si>
  <si>
    <t>India Universal Trust (20/09/2030) **</t>
  </si>
  <si>
    <t>INE16J715035</t>
  </si>
  <si>
    <t>IND AAA(SO)</t>
  </si>
  <si>
    <t>IUNT25</t>
  </si>
  <si>
    <t>India Universal Trust (21/11/2030) **</t>
  </si>
  <si>
    <t>INE1CBK15037</t>
  </si>
  <si>
    <t>IUNT21</t>
  </si>
  <si>
    <t>India Universal Trust (20/07/2027) **</t>
  </si>
  <si>
    <t>INE16J715027</t>
  </si>
  <si>
    <t>IUNT24</t>
  </si>
  <si>
    <t>India Universal Trust (21/11/2027) **</t>
  </si>
  <si>
    <t>INE1CBK15029</t>
  </si>
  <si>
    <t>Aggregate Investments by other schemes (At NAV)  as on December 15, 2025 RS 82670.79 Lakh's</t>
  </si>
  <si>
    <t>Benchmark Name - NIFTY CORPORATE BOND INDEX A-II</t>
  </si>
  <si>
    <t>GOI1869</t>
  </si>
  <si>
    <t>7.51% Maharashtra State Development Loans (24/05/2027)</t>
  </si>
  <si>
    <t>IN2220170020</t>
  </si>
  <si>
    <t>GOI1873</t>
  </si>
  <si>
    <t>7.52% Gujarat State Development Loans (24/05/2027)</t>
  </si>
  <si>
    <t>IN1520170045</t>
  </si>
  <si>
    <t>GOI1872</t>
  </si>
  <si>
    <t>7.52% Tamilnadu State Development Loans (24/05/2027)</t>
  </si>
  <si>
    <t>IN3120170037</t>
  </si>
  <si>
    <t>GOI1871</t>
  </si>
  <si>
    <t>7.53% Haryana State Development Loans (24/05/2027)</t>
  </si>
  <si>
    <t>IN1620170010</t>
  </si>
  <si>
    <t>GOI1834</t>
  </si>
  <si>
    <t>7.92% West Bangal State Development Loans (15/03/2027)</t>
  </si>
  <si>
    <t>IN3420160175</t>
  </si>
  <si>
    <t>GOI1831</t>
  </si>
  <si>
    <t>7.64% West Bangal State Development Loans (29/03/2027)</t>
  </si>
  <si>
    <t>IN3420160183</t>
  </si>
  <si>
    <t>GOI1785</t>
  </si>
  <si>
    <t>7.86% Karnataka State Development Loans (15/03/2027)</t>
  </si>
  <si>
    <t>IN1920160117</t>
  </si>
  <si>
    <t>GOI3764</t>
  </si>
  <si>
    <t>7.52% Uttar Pradesh State Development Loans (24/05/2027)</t>
  </si>
  <si>
    <t>IN3320170043</t>
  </si>
  <si>
    <t>GOI1893</t>
  </si>
  <si>
    <t>7.59% Karnataka State Development Loans (29/03/2027)</t>
  </si>
  <si>
    <t>IN1920160125</t>
  </si>
  <si>
    <t>GOI4359</t>
  </si>
  <si>
    <t>8.31% Rajasthan State Development Loans (08/04/2027)</t>
  </si>
  <si>
    <t>IN2920200036</t>
  </si>
  <si>
    <t>GOI1788</t>
  </si>
  <si>
    <t>7.88% Chattisgarh State Development Loans (15/03/2027)</t>
  </si>
  <si>
    <t>IN3520160034</t>
  </si>
  <si>
    <t>GOI3644</t>
  </si>
  <si>
    <t>6.58% Gujarat State Development Loans (31/03/2027)</t>
  </si>
  <si>
    <t>IN1520200347</t>
  </si>
  <si>
    <t>GOI1891</t>
  </si>
  <si>
    <t>7.63% Gujarat State Development Loans (12/04/2027)</t>
  </si>
  <si>
    <t>IN1520170011</t>
  </si>
  <si>
    <t>GOI3765</t>
  </si>
  <si>
    <t>7.51% Rajasthan State Development Loans (24/05/2027)</t>
  </si>
  <si>
    <t>IN2920170015</t>
  </si>
  <si>
    <t>GOI3085</t>
  </si>
  <si>
    <t>6.72% Kerala State Development Loans (24/03/2027)</t>
  </si>
  <si>
    <t>IN2020200290</t>
  </si>
  <si>
    <t>GOI1761</t>
  </si>
  <si>
    <t>7.78% Bihar State Development Loans (01/03/2027)</t>
  </si>
  <si>
    <t>IN1320160170</t>
  </si>
  <si>
    <t>GOI1793</t>
  </si>
  <si>
    <t>7.85% Rajasthan State Development Loans (15/03/2027)</t>
  </si>
  <si>
    <t>IN2920160438</t>
  </si>
  <si>
    <t>GOI6176</t>
  </si>
  <si>
    <t>6.48% Rajasthan State Development Loans (02/03/2027)</t>
  </si>
  <si>
    <t>IN2920210506</t>
  </si>
  <si>
    <t>GOI4371</t>
  </si>
  <si>
    <t>7.61% Uttar Pradesh State Development Loans (11/05/2027)</t>
  </si>
  <si>
    <t>IN3320170035</t>
  </si>
  <si>
    <t>GOI4592</t>
  </si>
  <si>
    <t>7.61% Uttar Pradesh State Development Loans (26/04/2027)</t>
  </si>
  <si>
    <t>IN3320170027</t>
  </si>
  <si>
    <t>GOI5794</t>
  </si>
  <si>
    <t>7.16% Haryana State Development Loans (24/05/2027)</t>
  </si>
  <si>
    <t>IN1620230046</t>
  </si>
  <si>
    <t>GOI4298</t>
  </si>
  <si>
    <t>7.87% Uttar Pradesh State Development Loans (15/03/2027)</t>
  </si>
  <si>
    <t>IN3320160341</t>
  </si>
  <si>
    <t>GOI1758</t>
  </si>
  <si>
    <t>7.78% West Bengal State Development Loans (01/03/2027)</t>
  </si>
  <si>
    <t>IN3420160167</t>
  </si>
  <si>
    <t>GOI5804</t>
  </si>
  <si>
    <t>7.55% Kerala State Development Loans (11/05/2027)</t>
  </si>
  <si>
    <t>IN2020170022</t>
  </si>
  <si>
    <t>GOI1756</t>
  </si>
  <si>
    <t>7.80% Haryana State Development Loans 2027 (01/03/2027)</t>
  </si>
  <si>
    <t>IN1620160276</t>
  </si>
  <si>
    <r>
      <rPr>
        <b/>
        <sz val="9"/>
        <color rgb="FF000000"/>
        <rFont val="Arial"/>
        <family val="2"/>
      </rPr>
      <t>The DIRF score is 98.84 %</t>
    </r>
  </si>
  <si>
    <t>Benchmark Name - CRISIL IBX SDL INDEX - MAY 2027</t>
  </si>
  <si>
    <t>GOI5152</t>
  </si>
  <si>
    <t>7.3% Government of India (19/06/2053)</t>
  </si>
  <si>
    <t>IN0020230051</t>
  </si>
  <si>
    <t>GOI7201</t>
  </si>
  <si>
    <t>7.43% Maharashtra State Development Loans (03/12/2040)</t>
  </si>
  <si>
    <t>IN2220250392</t>
  </si>
  <si>
    <t>IRLY379</t>
  </si>
  <si>
    <t>7.44% Indian Railway Finance Corporation Limited (28/02/2034) **</t>
  </si>
  <si>
    <t>INE053F08379</t>
  </si>
  <si>
    <t>NHBA333</t>
  </si>
  <si>
    <t>7.14% National Housing Bank (17/11/2034) **</t>
  </si>
  <si>
    <t>INE557F08GA2</t>
  </si>
  <si>
    <t>GOI6019</t>
  </si>
  <si>
    <t>7.09% Government of India (05/08/2054)</t>
  </si>
  <si>
    <t>IN0020240118</t>
  </si>
  <si>
    <t>GOI6240</t>
  </si>
  <si>
    <t>7.09% Government of India (25/11/2074)</t>
  </si>
  <si>
    <t>IN0020240142</t>
  </si>
  <si>
    <t>NHPC117</t>
  </si>
  <si>
    <t>8.12% NHPC Limited (22/03/2029) **</t>
  </si>
  <si>
    <t>INE848E08136</t>
  </si>
  <si>
    <t>NBAR382</t>
  </si>
  <si>
    <t>7.60% National Bank For Agriculture and Rural Development (23/11/2032) **</t>
  </si>
  <si>
    <t>INE261F08931</t>
  </si>
  <si>
    <t>GOI5593</t>
  </si>
  <si>
    <t>7.46% Uttar Pradesh State Development Loans (28/02/2034)</t>
  </si>
  <si>
    <t>IN3320230276</t>
  </si>
  <si>
    <t>GOI5656</t>
  </si>
  <si>
    <t>7.47% Uttarakhand State Development Loans (20/03/2034)</t>
  </si>
  <si>
    <t>IN3620230075</t>
  </si>
  <si>
    <t>GOI4449</t>
  </si>
  <si>
    <t>7.54% Government of India (23/05/2036)</t>
  </si>
  <si>
    <t>IN0020220029</t>
  </si>
  <si>
    <t>EXIM630</t>
  </si>
  <si>
    <t>7.88% Export Import Bank of India (11/01/2033) **</t>
  </si>
  <si>
    <t>INE514E08FQ4</t>
  </si>
  <si>
    <t>GOI5406</t>
  </si>
  <si>
    <t>7.75% Uttar Pradesh State Development Loans (29/11/2034)</t>
  </si>
  <si>
    <t>IN3320230201</t>
  </si>
  <si>
    <t>GOI5335</t>
  </si>
  <si>
    <t>7.68% Uttar Pradesh State Development Loans (18/10/2034)</t>
  </si>
  <si>
    <t>IN3320230102</t>
  </si>
  <si>
    <t>GOI5151</t>
  </si>
  <si>
    <t>7.41% Uttar Pradesh State Development Loans (14/06/2034)</t>
  </si>
  <si>
    <t>IN3320230037</t>
  </si>
  <si>
    <t>EXIM628</t>
  </si>
  <si>
    <t>7.02% Export Import Bank of India (25/11/2031) **</t>
  </si>
  <si>
    <t>INE514E08FH3</t>
  </si>
  <si>
    <t>IRLY356</t>
  </si>
  <si>
    <t>7.03% Indian Railway Finance Corporation Limited (30/07/2036) **</t>
  </si>
  <si>
    <t>INE053F08114</t>
  </si>
  <si>
    <t>RECL475</t>
  </si>
  <si>
    <t>6.81% REC Limited (30/04/2036) **</t>
  </si>
  <si>
    <t>INE020B08FV8</t>
  </si>
  <si>
    <t>NHAI61</t>
  </si>
  <si>
    <t>8.49% National Highways Authority Of India (05/02/2029) **</t>
  </si>
  <si>
    <t>INE906B07GO3</t>
  </si>
  <si>
    <t>RECL417</t>
  </si>
  <si>
    <t>7.4% REC Limited (15/03/2036) **</t>
  </si>
  <si>
    <t>INE020B08DO8</t>
  </si>
  <si>
    <t>RECL370</t>
  </si>
  <si>
    <t>8.80% REC Limited (14/05/2029) **</t>
  </si>
  <si>
    <t>INE020B08BS3</t>
  </si>
  <si>
    <t>NBAR516</t>
  </si>
  <si>
    <t>8.5% National Bank For Agriculture and Rural Development (27/02/2029) **</t>
  </si>
  <si>
    <t>INE261F08BC8</t>
  </si>
  <si>
    <t>NHAI62</t>
  </si>
  <si>
    <t>8.27% National Highways Authority Of India (28/03/2029) **</t>
  </si>
  <si>
    <t>INE906B07GP0</t>
  </si>
  <si>
    <t>HDFB879</t>
  </si>
  <si>
    <t>8.55% HDFC Bank Limited (27/03/2029) **</t>
  </si>
  <si>
    <t>INE040A08724</t>
  </si>
  <si>
    <t>NBAR511</t>
  </si>
  <si>
    <t>8.15% National Bank For Agriculture and Rural Development (28/03/2029) **</t>
  </si>
  <si>
    <t>INE261F08BH7</t>
  </si>
  <si>
    <t>HDFB881</t>
  </si>
  <si>
    <t>8.05% HDFC Bank Limited (22/10/2029) **</t>
  </si>
  <si>
    <t>INE040A08AC9</t>
  </si>
  <si>
    <t>POWF460</t>
  </si>
  <si>
    <t>7.79% Power Finance Corporation Limited (22/07/2030) **</t>
  </si>
  <si>
    <t>INE134E08KU3</t>
  </si>
  <si>
    <t>NHPC122</t>
  </si>
  <si>
    <t>7.5% NHPC Limited (06/10/2029) **</t>
  </si>
  <si>
    <t>INE848E07AS5</t>
  </si>
  <si>
    <t>NHAI65</t>
  </si>
  <si>
    <t>7.49% National Highways Authority Of India (01/08/2029) **</t>
  </si>
  <si>
    <t>INE906B07HG7</t>
  </si>
  <si>
    <t>NHPC124</t>
  </si>
  <si>
    <t>7.5% NHPC Limited (07/10/2027) **</t>
  </si>
  <si>
    <t>INE848E07AQ9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</si>
  <si>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</si>
  <si>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</si>
  <si>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</si>
  <si>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</si>
  <si>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</si>
  <si>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</si>
  <si>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PGCI363</t>
  </si>
  <si>
    <t>8.20% Power Grid Corporation of India Limited (23/01/2030) **</t>
  </si>
  <si>
    <t>INE752E07MH7</t>
  </si>
  <si>
    <t>GOI4366</t>
  </si>
  <si>
    <t>7.1% Government of India (18/04/2029)</t>
  </si>
  <si>
    <t>IN0020220011</t>
  </si>
  <si>
    <t>GOI2767</t>
  </si>
  <si>
    <t>6.63% Maharashtra State Development Loans (14/10/2030)</t>
  </si>
  <si>
    <t>IN2220200264</t>
  </si>
  <si>
    <t>GOI2954</t>
  </si>
  <si>
    <t>6.51% Karnataka State Development Loans (30/12/2030)</t>
  </si>
  <si>
    <t>IN1920200533</t>
  </si>
  <si>
    <t>IIFC28</t>
  </si>
  <si>
    <t>9.41% India Infrastructure Fin Co Ltd (27/07/2037) **</t>
  </si>
  <si>
    <t>INE787H07057</t>
  </si>
  <si>
    <t>GOI2543</t>
  </si>
  <si>
    <t>7.04% Gujarat State Development Loans (18/03/2030)</t>
  </si>
  <si>
    <t>IN1520190217</t>
  </si>
  <si>
    <t>GOI1197</t>
  </si>
  <si>
    <t>8.60% Government of India (02/06/2028)</t>
  </si>
  <si>
    <t>IN0020140011</t>
  </si>
  <si>
    <t>Benchmark Name - NIFTY COMPOSITE DEBT INDEX A-III</t>
  </si>
  <si>
    <t>KRET01</t>
  </si>
  <si>
    <t>Knowledge Realty Trust</t>
  </si>
  <si>
    <t>INE1JAR25012</t>
  </si>
  <si>
    <t>MUFL457</t>
  </si>
  <si>
    <t>8.52% Muthoot Finance Limited (07/04/2028) **</t>
  </si>
  <si>
    <t>INE414G07JN3</t>
  </si>
  <si>
    <t>BHAT75</t>
  </si>
  <si>
    <t>8.65% Bharti Telecom Limited (05/11/2027)</t>
  </si>
  <si>
    <t>INE403D08231</t>
  </si>
  <si>
    <t>POWF543</t>
  </si>
  <si>
    <t>7.44% Power Finance Corporation Limited (15/01/2030) **</t>
  </si>
  <si>
    <t>INE134E08NO0</t>
  </si>
  <si>
    <t>GMHI20</t>
  </si>
  <si>
    <t>8.58% GMR Hyderabad International Airport Limited (28/03/2034) **</t>
  </si>
  <si>
    <t>INE802J07035</t>
  </si>
  <si>
    <t>MALE635</t>
  </si>
  <si>
    <t>7.60% Poonawalla Fincorp Limited (28/05/2027) **</t>
  </si>
  <si>
    <t>INE511C07870</t>
  </si>
  <si>
    <t>GOSL409</t>
  </si>
  <si>
    <t>8.10% Godrej Industries Limited (22/05/2028) **</t>
  </si>
  <si>
    <t>INE233A08154</t>
  </si>
  <si>
    <t>SHTR500</t>
  </si>
  <si>
    <t>8.75% Shriram Finance Limited (05/10/2026) **</t>
  </si>
  <si>
    <t>INE721A07RQ0</t>
  </si>
  <si>
    <t>NAHR20</t>
  </si>
  <si>
    <t>8.4% Narayana Hrudayalaya Limited (15/02/2030) **</t>
  </si>
  <si>
    <t>INE410P08024</t>
  </si>
  <si>
    <t>ICRA AA</t>
  </si>
  <si>
    <t>GOI5728</t>
  </si>
  <si>
    <t>7.34% Government of India (22/04/2064)</t>
  </si>
  <si>
    <t>IN0020240035</t>
  </si>
  <si>
    <t>AAHF88</t>
  </si>
  <si>
    <t>8.50% Aadhar Housing Finance Limited (26/05/2026) **</t>
  </si>
  <si>
    <t>INE883F07306</t>
  </si>
  <si>
    <t>IND AA</t>
  </si>
  <si>
    <t>GODP219</t>
  </si>
  <si>
    <t>8.15% Godrej Properties Limited (03/07/2026) **</t>
  </si>
  <si>
    <t>INE484J08048</t>
  </si>
  <si>
    <t>ICRA AA+</t>
  </si>
  <si>
    <t>MAHT36</t>
  </si>
  <si>
    <t>7.80% Mahanagar Telephone Nigam Limited (07/11/2033) **</t>
  </si>
  <si>
    <t>INE153A08170</t>
  </si>
  <si>
    <t>CARE AAA(CE)</t>
  </si>
  <si>
    <t>GOI3642</t>
  </si>
  <si>
    <t>6.24% Maharashtra State Development Loans (11/08/2026)</t>
  </si>
  <si>
    <t>IN2220210214</t>
  </si>
  <si>
    <t>BHFL121</t>
  </si>
  <si>
    <t>7.98% Bajaj Housing Finance Limited (09/09/2026) **</t>
  </si>
  <si>
    <t>INE377Y07490</t>
  </si>
  <si>
    <t>VAJR20</t>
  </si>
  <si>
    <t>Vajra Trust (20/04/2029) **</t>
  </si>
  <si>
    <t>INE0S9015015</t>
  </si>
  <si>
    <t>ICRA AAA(SO)</t>
  </si>
  <si>
    <t>TBIL2580</t>
  </si>
  <si>
    <t>91 Days Tbill (MD 29/01/2026)</t>
  </si>
  <si>
    <t>IN002025X315</t>
  </si>
  <si>
    <t>RECL436</t>
  </si>
  <si>
    <t>7.44% REC Limited (30/04/2026) **</t>
  </si>
  <si>
    <t>INE020B08EL2</t>
  </si>
  <si>
    <t>SIDB513</t>
  </si>
  <si>
    <t>7.43% Small Industries Dev Bank of India (31/08/2026) **</t>
  </si>
  <si>
    <t>INE556F08KH1</t>
  </si>
  <si>
    <t>NBAR719</t>
  </si>
  <si>
    <t>7.50% National Bank For Agriculture and Rural Development (31/08/2026)</t>
  </si>
  <si>
    <t>INE261F08EA6</t>
  </si>
  <si>
    <t>NBAR723</t>
  </si>
  <si>
    <t>7.49% National Bank For Agriculture and Rural Development (15/10/2026) **</t>
  </si>
  <si>
    <t>INE261F08EB4</t>
  </si>
  <si>
    <t>SIDB519</t>
  </si>
  <si>
    <t>7.44% Small Industries Dev Bank of India (04/09/2026)</t>
  </si>
  <si>
    <t>INE556F08KI9</t>
  </si>
  <si>
    <t>Commercial Paper</t>
  </si>
  <si>
    <t>LTFH125</t>
  </si>
  <si>
    <t>L&amp;T Finance Limited (02/06/2026) **</t>
  </si>
  <si>
    <t>INE498L14EB8</t>
  </si>
  <si>
    <t>ICRA A1+</t>
  </si>
  <si>
    <t>Exchange Traded Funds</t>
  </si>
  <si>
    <t>EOPR01</t>
  </si>
  <si>
    <t>Embassy Office Parks REIT</t>
  </si>
  <si>
    <t>INE041025011</t>
  </si>
  <si>
    <t>KOGT26</t>
  </si>
  <si>
    <t>9.5% Kogta Financial (India) Limited (30/10/2027) **</t>
  </si>
  <si>
    <t>INE192U07376</t>
  </si>
  <si>
    <t>CARE A+</t>
  </si>
  <si>
    <t>SESA536</t>
  </si>
  <si>
    <t>9.40% Vedanta Limited (20/02/2027) **</t>
  </si>
  <si>
    <t>INE205A08038</t>
  </si>
  <si>
    <t>BABM20</t>
  </si>
  <si>
    <t>Bamboo Hotel And Global Centre (Delhi) Private limited (31/01/2028) **</t>
  </si>
  <si>
    <t>INE755L07015</t>
  </si>
  <si>
    <t>ICRA A+(CE)</t>
  </si>
  <si>
    <t>APTU21</t>
  </si>
  <si>
    <t>8.95% Aptus Finance India Private Limited (06/03/2029) **</t>
  </si>
  <si>
    <t>INE04MH07059</t>
  </si>
  <si>
    <t>CARE AA</t>
  </si>
  <si>
    <t>GOI5817</t>
  </si>
  <si>
    <t>7.04% Government of India (03/06/2029)</t>
  </si>
  <si>
    <t>IN0020240050</t>
  </si>
  <si>
    <t>AVHF21</t>
  </si>
  <si>
    <t>8.75% Aptus Value Housing Finance India Limited (11/03/2030) **</t>
  </si>
  <si>
    <t>INE852O07154</t>
  </si>
  <si>
    <t>IKFF23</t>
  </si>
  <si>
    <t>9.4% IKF Finance Limited (12/08/2027) **</t>
  </si>
  <si>
    <t>INE859C07246</t>
  </si>
  <si>
    <t>GOI3607</t>
  </si>
  <si>
    <t>4.04% Government of India (04/10/2028)</t>
  </si>
  <si>
    <t>IN0020210160</t>
  </si>
  <si>
    <t>TBIL2563</t>
  </si>
  <si>
    <t>182 Days Tbill (MD 05/03/2026)</t>
  </si>
  <si>
    <t>IN002025Y230</t>
  </si>
  <si>
    <t>TBIL2568</t>
  </si>
  <si>
    <t>91 Days Tbill (MD 02/01/2026)</t>
  </si>
  <si>
    <t>IN002025X273</t>
  </si>
  <si>
    <t>IRS2366282</t>
  </si>
  <si>
    <t>Interest Rate Swaps Pay Fix Receive Floating -CCIL (11/03/2026) (FV 3500 Lacs)</t>
  </si>
  <si>
    <t>IRS2357727</t>
  </si>
  <si>
    <t>Interest Rate Swaps Pay Fix Receive Floating -IDFC BANK (09/03/2026) (FV 1000 Lacs)</t>
  </si>
  <si>
    <t>IRS2357733</t>
  </si>
  <si>
    <t>Interest Rate Swaps Pay Fix Receive Floating -CCIL (09/03/2026) (FV 500 Lacs)</t>
  </si>
  <si>
    <t>IRS2357725</t>
  </si>
  <si>
    <t>Interest Rate Swaps Pay Fix Receive Floating -BARC (09/03/2026) (FV 1000 Lacs)</t>
  </si>
  <si>
    <t>IRS2357729</t>
  </si>
  <si>
    <t>Interest Rate Swaps Pay Fix Receive Floating -DBS (09/03/2026) (FV 1000 Lacs)</t>
  </si>
  <si>
    <t>IRS2366369</t>
  </si>
  <si>
    <t>Interest Rate Swaps Pay Fix Receive Floating -ICISECPD (11/03/2026) (FV 1000 Lacs)</t>
  </si>
  <si>
    <t>IRS2366373</t>
  </si>
  <si>
    <t>Interest Rate Swaps Pay Fix Receive Floating -CCIL (11/03/2026) (FV 500 Lacs)</t>
  </si>
  <si>
    <t>IRS1930913</t>
  </si>
  <si>
    <t>Interest Rate Swaps Pay Fix Receive Floating -HSBC BANK (30/04/2027) (FV 500 Lacs)</t>
  </si>
  <si>
    <t>GOI6838</t>
  </si>
  <si>
    <t>6.96% Andhra Pradesh State Development Loans (19/05/2035)</t>
  </si>
  <si>
    <t>IN1020210077</t>
  </si>
  <si>
    <t>JUBL20</t>
  </si>
  <si>
    <t>Jubilant Bevco Limited (31/05/2028) (ZCB) **</t>
  </si>
  <si>
    <t>INE1D4P08019</t>
  </si>
  <si>
    <t>CRISIL AA</t>
  </si>
  <si>
    <t>JUBT20</t>
  </si>
  <si>
    <t>Jubilant Beverages Limited (31/05/2028) (ZCB) **</t>
  </si>
  <si>
    <t>INE1D4O08012</t>
  </si>
  <si>
    <t>PIPE22</t>
  </si>
  <si>
    <t>7.96% Pipeline Infrastructure Private Limited (11/03/2028) **</t>
  </si>
  <si>
    <t>INE01XX07042</t>
  </si>
  <si>
    <t>MUFL458</t>
  </si>
  <si>
    <t>8.52% Muthoot Finance Limited (26/05/2028) **</t>
  </si>
  <si>
    <t>INE414G07JO1</t>
  </si>
  <si>
    <t>MOFV79</t>
  </si>
  <si>
    <t>8.75% Motilal Oswal Finvest Limited (29/10/2027)</t>
  </si>
  <si>
    <t>INE01WN07136</t>
  </si>
  <si>
    <t>DHFL424</t>
  </si>
  <si>
    <t>8.75% Piramal Finance Limited (29/10/2027) **</t>
  </si>
  <si>
    <t>INE202B07JW4</t>
  </si>
  <si>
    <t>IIFW338</t>
  </si>
  <si>
    <t>8.75% 360 One Prime Limited (10/09/2027) **</t>
  </si>
  <si>
    <t>INE248U07GA9</t>
  </si>
  <si>
    <t>POWF480</t>
  </si>
  <si>
    <t>7.11% Power Finance Corporation Limited (30/06/2036) **</t>
  </si>
  <si>
    <t>INE134E08LI6</t>
  </si>
  <si>
    <t>TBIL2582</t>
  </si>
  <si>
    <t>182 Days Tbill (MD 30/04/2026)</t>
  </si>
  <si>
    <t>IN002025Y313</t>
  </si>
  <si>
    <t>Benchmark Name - NIFTY MEDIUM TO LONG DURATION DEBT INDEX A-III</t>
  </si>
  <si>
    <t>RECL445</t>
  </si>
  <si>
    <t>7.8% REC Limited (30/05/2026) **</t>
  </si>
  <si>
    <t>INE020B08ES7</t>
  </si>
  <si>
    <t>BHFL102</t>
  </si>
  <si>
    <t>7.78% Bajaj Housing Finance Limited (26/05/2026) **</t>
  </si>
  <si>
    <t>INE377Y07425</t>
  </si>
  <si>
    <t>LICH601</t>
  </si>
  <si>
    <t>6.01% LIC Housing Finance Limited (19/05/2026) **</t>
  </si>
  <si>
    <t>INE115A07PF2</t>
  </si>
  <si>
    <t>BKBA553</t>
  </si>
  <si>
    <t>Bank of Baroda (05/06/2026) **</t>
  </si>
  <si>
    <t>INE028A16KR4</t>
  </si>
  <si>
    <t>CARE A1+</t>
  </si>
  <si>
    <t>HDFB1002</t>
  </si>
  <si>
    <t>HDFC Bank Limited (19/05/2026) **</t>
  </si>
  <si>
    <t>INE040A16GW7</t>
  </si>
  <si>
    <t>SIDB605</t>
  </si>
  <si>
    <t>Small Industries Dev Bank of India (20/05/2026) **</t>
  </si>
  <si>
    <t>INE556F16BI1</t>
  </si>
  <si>
    <t>PUBA1090</t>
  </si>
  <si>
    <t>Punjab National Bank (18/03/2026) **</t>
  </si>
  <si>
    <t>INE160A16RK5</t>
  </si>
  <si>
    <t>INBK458</t>
  </si>
  <si>
    <t>Indian Bank (04/02/2026)</t>
  </si>
  <si>
    <t>INE562A16OA0</t>
  </si>
  <si>
    <t>NBAR825</t>
  </si>
  <si>
    <t>National Bank For Agriculture and Rural Development (27/02/2026)</t>
  </si>
  <si>
    <t>INE261F16967</t>
  </si>
  <si>
    <t>EXIM799</t>
  </si>
  <si>
    <t>Export Import Bank of India (04/03/2026)</t>
  </si>
  <si>
    <t>INE514E16CJ9</t>
  </si>
  <si>
    <t>HDFB1014</t>
  </si>
  <si>
    <t>HDFC Bank Limited (09/03/2026) **</t>
  </si>
  <si>
    <t>INE040A16HM6</t>
  </si>
  <si>
    <t>CANB1041</t>
  </si>
  <si>
    <t>Canara Bank (12/03/2026) **</t>
  </si>
  <si>
    <t>INE476A16B23</t>
  </si>
  <si>
    <t>HDBF342</t>
  </si>
  <si>
    <t>HDB Financial Services Limited (16/03/2026) **</t>
  </si>
  <si>
    <t>INE756I14EZ4</t>
  </si>
  <si>
    <t>TCAL520</t>
  </si>
  <si>
    <t>Tata Capital Limited (21/05/2026) **</t>
  </si>
  <si>
    <t>INE976I14PZ4</t>
  </si>
  <si>
    <t>LTFH127</t>
  </si>
  <si>
    <t>L&amp;T Finance Limited (10/06/2026)</t>
  </si>
  <si>
    <t>INE498L14ED4</t>
  </si>
  <si>
    <r>
      <rPr>
        <b/>
        <sz val="9"/>
        <color rgb="FF000000"/>
        <rFont val="Arial"/>
        <family val="2"/>
      </rPr>
      <t>The DIRF score is 61.23 %</t>
    </r>
  </si>
  <si>
    <t>Benchmark Name - CRISIL-IBX FINANCIAL SERVICES 3-6 MONTHS DEBT INDEX</t>
  </si>
  <si>
    <t>International Exchange Traded Funds</t>
  </si>
  <si>
    <t>152887</t>
  </si>
  <si>
    <t>Axis CRISIL-IBX AAA Bond NBFC - Jun 2027 Index Fund - Direct Plan - Growth Option</t>
  </si>
  <si>
    <t>INF846K017X1</t>
  </si>
  <si>
    <t>Benchmark Name - 65% NIFTY SHORT DURATION DEBT INDEX + 35% NIFTY 50 ARBITRAGE TRI</t>
  </si>
  <si>
    <t>IRS2068359</t>
  </si>
  <si>
    <t>Interest Rate Swaps Pay Fix Receive Floating -ICICI BANK (14/07/2027) (FV 5000 Lacs)</t>
  </si>
  <si>
    <t>GOI7204</t>
  </si>
  <si>
    <t>7.18% Tamilnadu State Development Loans (03/12/2033)</t>
  </si>
  <si>
    <t>IN3120250458</t>
  </si>
  <si>
    <t>EFIL119</t>
  </si>
  <si>
    <t>9.75% Nuvama Wealth Finance Limited (17/01/2028) **</t>
  </si>
  <si>
    <t>INE918K07PU7</t>
  </si>
  <si>
    <t>DEIA22</t>
  </si>
  <si>
    <t>9.5% Delhi International Airport Limited (22/03/2034) **</t>
  </si>
  <si>
    <t>INE657H08043</t>
  </si>
  <si>
    <t>AAHF90</t>
  </si>
  <si>
    <t>8.65% Aadhar Housing Finance Limited (20/08/2027) **</t>
  </si>
  <si>
    <t>INE883F07330</t>
  </si>
  <si>
    <t>NIMA374</t>
  </si>
  <si>
    <t>8.5% Nirma Limited (07/04/2027) **</t>
  </si>
  <si>
    <t>INE091A07208</t>
  </si>
  <si>
    <t>MACR29</t>
  </si>
  <si>
    <t>7.96% Lodha Developers Limited (07/07/2028) **</t>
  </si>
  <si>
    <t>INE670K07299</t>
  </si>
  <si>
    <t>KEYS21</t>
  </si>
  <si>
    <t>9.5% Keystone Realtors Limited (29/09/2028) **</t>
  </si>
  <si>
    <t>INE263M07109</t>
  </si>
  <si>
    <t>ICRA A+</t>
  </si>
  <si>
    <t>JTMT20</t>
  </si>
  <si>
    <t>JTPM Metal Traders Limited (29/09/2028) (ZCB) **</t>
  </si>
  <si>
    <t>INE02PE08036</t>
  </si>
  <si>
    <t>ADRE20</t>
  </si>
  <si>
    <t>8.60% Aditya Birla Renewables Limited (24/09/2027) **</t>
  </si>
  <si>
    <t>INE01QP08016</t>
  </si>
  <si>
    <t>ICFP155</t>
  </si>
  <si>
    <t>9.4% IndoStar Capital Finance Limited (18/06/2027) **</t>
  </si>
  <si>
    <t>INE896L07AL4</t>
  </si>
  <si>
    <t>CARE AA-</t>
  </si>
  <si>
    <t>TCAP20</t>
  </si>
  <si>
    <t>9.9% Tyger Capital Private Limited (13/08/2027) **</t>
  </si>
  <si>
    <t>INE01EQ07137</t>
  </si>
  <si>
    <t>SUMM26</t>
  </si>
  <si>
    <t>8.06% Summit Digitel Infrastructure Limited (29/01/2029) **</t>
  </si>
  <si>
    <t>INE507T07120</t>
  </si>
  <si>
    <t>VFSL25</t>
  </si>
  <si>
    <t>9.65% Vistaar Financial Services Private Limited (18/06/2026) **</t>
  </si>
  <si>
    <t>INE016P07229</t>
  </si>
  <si>
    <t>GOI6662</t>
  </si>
  <si>
    <t>6.76% Maharashtra State Development Loans (23/04/2037)</t>
  </si>
  <si>
    <t>IN2220250012</t>
  </si>
  <si>
    <t>GOSL408</t>
  </si>
  <si>
    <t>8.15% Godrej Industries Limited (22/11/2029) **</t>
  </si>
  <si>
    <t>INE233A08147</t>
  </si>
  <si>
    <t>TATP56</t>
  </si>
  <si>
    <t>8.3% Tata Projects Limited (07/01/2028) **</t>
  </si>
  <si>
    <t>INE725H08238</t>
  </si>
  <si>
    <t>JFCS94</t>
  </si>
  <si>
    <t>9.3% JM Financial Credit Solution Limited (15/02/2027) **</t>
  </si>
  <si>
    <t>INE651J07986</t>
  </si>
  <si>
    <t>EOPR34</t>
  </si>
  <si>
    <t>7.73% Embassy Office Parks REIT (14/12/2029) **</t>
  </si>
  <si>
    <t>INE041007159</t>
  </si>
  <si>
    <t>ICFP149</t>
  </si>
  <si>
    <t>9.95% IndoStar Capital Finance Limited (27/05/2026) **</t>
  </si>
  <si>
    <t>INE896L07AI0</t>
  </si>
  <si>
    <t>NBAR353</t>
  </si>
  <si>
    <t>7.20% National Bank For Agriculture and Rural Development (21/10/2031) **</t>
  </si>
  <si>
    <t>INE261F08691</t>
  </si>
  <si>
    <t>IPLT20</t>
  </si>
  <si>
    <t>8.6% Infopark Properties Limited (19/06/2039) **</t>
  </si>
  <si>
    <t>INE0KZX07023</t>
  </si>
  <si>
    <t>GOI4845</t>
  </si>
  <si>
    <t>7.86% Jharkhand State Development Loans (09/11/2034)</t>
  </si>
  <si>
    <t>IN3720220018</t>
  </si>
  <si>
    <t>DATI24</t>
  </si>
  <si>
    <t>7.45% Altius Telecom Infrastructure Trust (20/04/2035) **</t>
  </si>
  <si>
    <t>INE0BWS07045</t>
  </si>
  <si>
    <t>SESA538</t>
  </si>
  <si>
    <t>9.31% Vedanta Limited (03/12/2027) **</t>
  </si>
  <si>
    <t>INE205A08046</t>
  </si>
  <si>
    <t>VEFP25</t>
  </si>
  <si>
    <t>9.75% Veritas Finance Private Limited (28/11/2026) **</t>
  </si>
  <si>
    <t>INE448U07240</t>
  </si>
  <si>
    <t>NXST20</t>
  </si>
  <si>
    <t>7.86% Nexus Select Trust - REIT (16/06/2026) **</t>
  </si>
  <si>
    <t>INE0NDH07019</t>
  </si>
  <si>
    <t>GOI5646</t>
  </si>
  <si>
    <t>7.46% Karnataka State Development Loans (20/03/2038)</t>
  </si>
  <si>
    <t>IN1920230365</t>
  </si>
  <si>
    <t>GOI1291</t>
  </si>
  <si>
    <t>7.88% Government of India (19/03/2030)</t>
  </si>
  <si>
    <t>IN0020150028</t>
  </si>
  <si>
    <t>GOI5721</t>
  </si>
  <si>
    <t>7.23% Government of India (15/04/2039)</t>
  </si>
  <si>
    <t>IN0020240027</t>
  </si>
  <si>
    <t>RECL405</t>
  </si>
  <si>
    <t>5.85% REC Limited (20/12/2025) **</t>
  </si>
  <si>
    <t>INE020B08DF6</t>
  </si>
  <si>
    <t>GOI2179</t>
  </si>
  <si>
    <t>7.26% Government of India (14/01/2029)</t>
  </si>
  <si>
    <t>IN0020180454</t>
  </si>
  <si>
    <t>EOPR30</t>
  </si>
  <si>
    <t>7.35% Embassy Office Parks REIT (05/04/2027) **</t>
  </si>
  <si>
    <t>INE041007092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</si>
  <si>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</si>
  <si>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</si>
  <si>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</si>
  <si>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</si>
  <si>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</si>
  <si>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</si>
  <si>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Aggregate Investments by other schemes (At NAV)  as on December 15, 2025 RS 11484.36 Lakh's</t>
  </si>
  <si>
    <t>Benchmark Name - NIFTY MEDIUM DURATION DEBT INDEX A-III</t>
  </si>
  <si>
    <t>IGIF01</t>
  </si>
  <si>
    <t>IndiGRID Infrastructure Trust</t>
  </si>
  <si>
    <t>INE219X23014</t>
  </si>
  <si>
    <t>BIRJ44</t>
  </si>
  <si>
    <t>9.25% Birla Corporation Limited (18/08/2026) **</t>
  </si>
  <si>
    <t>INE340A07084</t>
  </si>
  <si>
    <t>GOI6473</t>
  </si>
  <si>
    <t>7.18% Tamilnadu State Development Loans (27/08/2036)</t>
  </si>
  <si>
    <t>IN3120240582</t>
  </si>
  <si>
    <t>Benchmark Name - CRISIL CREDIT RISK DEBT B-II INDEX</t>
  </si>
  <si>
    <t>IRS1864657</t>
  </si>
  <si>
    <t>Interest Rate Swaps Pay Fix Receive Floating -ICISECPD (25/03/2030) (FV 1500 Lacs)</t>
  </si>
  <si>
    <t>MOSU199</t>
  </si>
  <si>
    <t>8.15% Samvardhana Motherson International Limited (23/01/2026) **</t>
  </si>
  <si>
    <t>INE775A08089</t>
  </si>
  <si>
    <t>MUFL394</t>
  </si>
  <si>
    <t>8.50% Muthoot Finance Limited (29/01/2026) **</t>
  </si>
  <si>
    <t>INE414G07HK3</t>
  </si>
  <si>
    <t>INBK357</t>
  </si>
  <si>
    <t>8.44% Indian Bank (30/12/2025) **</t>
  </si>
  <si>
    <t>INE562A08073</t>
  </si>
  <si>
    <t>IGIF36</t>
  </si>
  <si>
    <t>6.72% IndiGRID Infrastructure Trust (14/09/2026) **</t>
  </si>
  <si>
    <t>INE219X07306</t>
  </si>
  <si>
    <t>Benchmark Name - NIFTY 50 HYBRID COMPOSITE DEBT 15:85 INDEX</t>
  </si>
  <si>
    <t>GOI4639</t>
  </si>
  <si>
    <t>7.36% Government of India (12/09/2052)</t>
  </si>
  <si>
    <t>IN0020220086</t>
  </si>
  <si>
    <t>Benchmark Name - NIFTY LONG DURATION DEBT INDEX A-III</t>
  </si>
  <si>
    <t>GOI1470</t>
  </si>
  <si>
    <t>8.69% Tamilnadu State Development Loans (24/02/2026)</t>
  </si>
  <si>
    <t>IN3120150203</t>
  </si>
  <si>
    <t>GOI1418</t>
  </si>
  <si>
    <t>8.27% Karnataka State Development Loans(23/12/2025)</t>
  </si>
  <si>
    <t>IN1920150068</t>
  </si>
  <si>
    <t>GOI3354</t>
  </si>
  <si>
    <t>8.27% Haryana State Development Loans (23/12/2025)</t>
  </si>
  <si>
    <t>IN1620150111</t>
  </si>
  <si>
    <t>HDBF304</t>
  </si>
  <si>
    <t>8.04% HDB Financial Services Limited (25/02/2026) **</t>
  </si>
  <si>
    <t>INE756I07EL8</t>
  </si>
  <si>
    <t>GOI1468</t>
  </si>
  <si>
    <t>8.76% Madhya Pradesh State Development Loans (24/02/2026)</t>
  </si>
  <si>
    <t>IN2120150106</t>
  </si>
  <si>
    <t>KOMP1655</t>
  </si>
  <si>
    <t>7.924% Kotak Mahindra Prime Limited (20/02/2026) **</t>
  </si>
  <si>
    <t>INE916DA7RW2</t>
  </si>
  <si>
    <t>BAFL840</t>
  </si>
  <si>
    <t>Bajaj Finance Limited (18/02/2026) (ZCB) **</t>
  </si>
  <si>
    <t>INE296A07RY7</t>
  </si>
  <si>
    <t>GOI1421</t>
  </si>
  <si>
    <t>8.27% Tamilnadu State Development Loans(23/12/2025)</t>
  </si>
  <si>
    <t>IN3120150161</t>
  </si>
  <si>
    <t>GOI1417</t>
  </si>
  <si>
    <t>8.26% Maharashtra State Development Loans(23/12/2025)</t>
  </si>
  <si>
    <t>IN2220150154</t>
  </si>
  <si>
    <t>PUBA1117</t>
  </si>
  <si>
    <t>Punjab National Bank (16/12/2025)</t>
  </si>
  <si>
    <t>INE160A16SP2</t>
  </si>
  <si>
    <t>BKBA534</t>
  </si>
  <si>
    <t>Bank of Baroda (18/12/2025)</t>
  </si>
  <si>
    <t>INE028A16JY2</t>
  </si>
  <si>
    <t>INBK510</t>
  </si>
  <si>
    <t>Indian Bank (25/02/2026) **</t>
  </si>
  <si>
    <t>INE562A16PX9</t>
  </si>
  <si>
    <t>PUBA1135</t>
  </si>
  <si>
    <t>Punjab National Bank (13/03/2026) **</t>
  </si>
  <si>
    <t>INE160A16TU0</t>
  </si>
  <si>
    <t>SIDB592</t>
  </si>
  <si>
    <t>Small Industries Dev Bank of India (27/02/2026)</t>
  </si>
  <si>
    <t>INE556F16BB6</t>
  </si>
  <si>
    <t>PUBA1131</t>
  </si>
  <si>
    <t>Punjab National Bank (03/03/2026) **</t>
  </si>
  <si>
    <t>INE160A16TR6</t>
  </si>
  <si>
    <t>INBK500</t>
  </si>
  <si>
    <t>Indian Bank (17/12/2025) **</t>
  </si>
  <si>
    <t>INE562A16PM2</t>
  </si>
  <si>
    <t>BKBA520</t>
  </si>
  <si>
    <t>Bank of Baroda (05/01/2026) **</t>
  </si>
  <si>
    <t>INE028A16JI5</t>
  </si>
  <si>
    <t>BKIN502</t>
  </si>
  <si>
    <t>Bank of India (24/02/2026) **</t>
  </si>
  <si>
    <t>INE084A16FA3</t>
  </si>
  <si>
    <t>CANB1072</t>
  </si>
  <si>
    <t>Canara Bank (26/02/2026) **</t>
  </si>
  <si>
    <t>INE476A16E95</t>
  </si>
  <si>
    <t>RTBK464</t>
  </si>
  <si>
    <t>RBL Bank Limited (25/02/2026) **</t>
  </si>
  <si>
    <t>INE976G16OE1</t>
  </si>
  <si>
    <t>KAVY279</t>
  </si>
  <si>
    <t>Karur Vysya Bank Limited (13/03/2026) **</t>
  </si>
  <si>
    <t>INE036D16JM4</t>
  </si>
  <si>
    <t>UNBI418</t>
  </si>
  <si>
    <t>Union Bank of India (03/02/2026) **</t>
  </si>
  <si>
    <t>INE692A16IP5</t>
  </si>
  <si>
    <t>BKBA540</t>
  </si>
  <si>
    <t>Bank of Baroda (02/01/2026) **</t>
  </si>
  <si>
    <t>INE028A16JT2</t>
  </si>
  <si>
    <t>BKBA550</t>
  </si>
  <si>
    <t>Bank of Baroda (05/03/2026) **</t>
  </si>
  <si>
    <t>INE028A16KP8</t>
  </si>
  <si>
    <t>INBK457</t>
  </si>
  <si>
    <t>Indian Bank (19/01/2026) **</t>
  </si>
  <si>
    <t>INE562A16NW6</t>
  </si>
  <si>
    <t>UNBI416</t>
  </si>
  <si>
    <t>Union Bank of India (27/01/2026) **</t>
  </si>
  <si>
    <t>INE692A16IM2</t>
  </si>
  <si>
    <t>HDFB1023</t>
  </si>
  <si>
    <t>HDFC Bank Limited (12/02/2026) **</t>
  </si>
  <si>
    <t>INE040A16HV7</t>
  </si>
  <si>
    <t>BKBA489</t>
  </si>
  <si>
    <t>Bank of Baroda (16/12/2025)</t>
  </si>
  <si>
    <t>INE028A16ID8</t>
  </si>
  <si>
    <t>CANB1076</t>
  </si>
  <si>
    <t>Canara Bank (17/12/2025)</t>
  </si>
  <si>
    <t>INE476A16E04</t>
  </si>
  <si>
    <t>BKBA536</t>
  </si>
  <si>
    <t>Bank of Baroda (06/01/2026) **</t>
  </si>
  <si>
    <t>INE028A16KA0</t>
  </si>
  <si>
    <t>UCOB396</t>
  </si>
  <si>
    <t>UCO Bank (12/03/2026) **</t>
  </si>
  <si>
    <t>INE691A16MB9</t>
  </si>
  <si>
    <t>KMBK875</t>
  </si>
  <si>
    <t>Kotak Mahindra Bank Limited (15/01/2026)</t>
  </si>
  <si>
    <t>INE237A162Z2</t>
  </si>
  <si>
    <t>INBK456</t>
  </si>
  <si>
    <t>Indian Bank (08/01/2026)</t>
  </si>
  <si>
    <t>INE562A16NV8</t>
  </si>
  <si>
    <t>IDBL854</t>
  </si>
  <si>
    <t>IDBI Bank Limited (05/02/2026) **</t>
  </si>
  <si>
    <t>INE008A16X73</t>
  </si>
  <si>
    <t>BKIN505</t>
  </si>
  <si>
    <t>Bank of India (05/03/2026) **</t>
  </si>
  <si>
    <t>INE084A16FC9</t>
  </si>
  <si>
    <t>BKBA468</t>
  </si>
  <si>
    <t>Bank of Baroda (13/01/2026) **</t>
  </si>
  <si>
    <t>INE028A16HK5</t>
  </si>
  <si>
    <t>NBAR823</t>
  </si>
  <si>
    <t>National Bank For Agriculture and Rural Development (17/02/2026) **</t>
  </si>
  <si>
    <t>INE261F16959</t>
  </si>
  <si>
    <t>KMBK880</t>
  </si>
  <si>
    <t>Kotak Mahindra Bank Limited (18/02/2026) **</t>
  </si>
  <si>
    <t>INE237A165Z5</t>
  </si>
  <si>
    <t>BKIN493</t>
  </si>
  <si>
    <t>Bank of India (10/03/2026)</t>
  </si>
  <si>
    <t>INE084A16EK5</t>
  </si>
  <si>
    <t>HDFB1017</t>
  </si>
  <si>
    <t>HDFC Bank Limited (22/12/2025)</t>
  </si>
  <si>
    <t>INE040A16HQ7</t>
  </si>
  <si>
    <t>CANB1021</t>
  </si>
  <si>
    <t>Canara Bank (18/12/2025) **</t>
  </si>
  <si>
    <t>INE476A16ZT9</t>
  </si>
  <si>
    <t>CANB1027</t>
  </si>
  <si>
    <t>Canara Bank (26/12/2025)</t>
  </si>
  <si>
    <t>INE476A16ZW3</t>
  </si>
  <si>
    <t>BKBA533</t>
  </si>
  <si>
    <t>Bank of Baroda (16/01/2026) **</t>
  </si>
  <si>
    <t>INE028A16HL3</t>
  </si>
  <si>
    <t>UNBI427</t>
  </si>
  <si>
    <t>Union Bank of India (05/03/2026)</t>
  </si>
  <si>
    <t>INE692A16IY7</t>
  </si>
  <si>
    <t>PUBA1074</t>
  </si>
  <si>
    <t>Punjab National Bank (08/01/2026) **</t>
  </si>
  <si>
    <t>INE160A16QT8</t>
  </si>
  <si>
    <t>NBAR806</t>
  </si>
  <si>
    <t>National Bank For Agriculture and Rural Development (20/01/2026) **</t>
  </si>
  <si>
    <t>INE261F16892</t>
  </si>
  <si>
    <t>CANB1031</t>
  </si>
  <si>
    <t>Canara Bank (03/02/2026) **</t>
  </si>
  <si>
    <t>INE476A16A24</t>
  </si>
  <si>
    <t>BKBA525</t>
  </si>
  <si>
    <t>Bank of Baroda (06/02/2026) **</t>
  </si>
  <si>
    <t>INE028A16JM7</t>
  </si>
  <si>
    <t>IDBK540</t>
  </si>
  <si>
    <t>IDFC First Bank Limited (27/01/2026) **</t>
  </si>
  <si>
    <t>INE092T16XY9</t>
  </si>
  <si>
    <t>CANB1062</t>
  </si>
  <si>
    <t>Canara Bank (27/02/2026) **</t>
  </si>
  <si>
    <t>INE476A16D96</t>
  </si>
  <si>
    <t>SIDB631</t>
  </si>
  <si>
    <t>Small Industries Dev Bank of India (12/02/2026) **</t>
  </si>
  <si>
    <t>INE556F14LQ8</t>
  </si>
  <si>
    <t>EXIM811</t>
  </si>
  <si>
    <t>Export Import Bank of India (13/02/2026) **</t>
  </si>
  <si>
    <t>INE514E14SX1</t>
  </si>
  <si>
    <t>SIDB633</t>
  </si>
  <si>
    <t>Small Industries Dev Bank of India (24/02/2026) **</t>
  </si>
  <si>
    <t>INE556F14LS4</t>
  </si>
  <si>
    <t>RIND482</t>
  </si>
  <si>
    <t>Reliance Industries Limited (24/12/2025) **</t>
  </si>
  <si>
    <t>INE002A14LN1</t>
  </si>
  <si>
    <t>EXIM813</t>
  </si>
  <si>
    <t>Export Import Bank of India (26/02/2026) **</t>
  </si>
  <si>
    <t>INE514E14SZ6</t>
  </si>
  <si>
    <t>BAFS110</t>
  </si>
  <si>
    <t>Bajaj Financial Securities Limited (12/03/2026) **</t>
  </si>
  <si>
    <t>INE01C314DR3</t>
  </si>
  <si>
    <t>TISC281</t>
  </si>
  <si>
    <t>Tata Steel Limited (16/12/2025) **</t>
  </si>
  <si>
    <t>INE081A14GH7</t>
  </si>
  <si>
    <t>RRVL201</t>
  </si>
  <si>
    <t>Reliance Retail Ventures Limited (11/02/2026) **</t>
  </si>
  <si>
    <t>INE929O14EH3</t>
  </si>
  <si>
    <t>MMFS1211</t>
  </si>
  <si>
    <t>Mahindra &amp; Mahindra Financial Services Limited (13/02/2026) **</t>
  </si>
  <si>
    <t>INE774D14TG6</t>
  </si>
  <si>
    <t>KOSE371</t>
  </si>
  <si>
    <t>Kotak Securities Limited (03/03/2026) **</t>
  </si>
  <si>
    <t>INE028E14TW2</t>
  </si>
  <si>
    <t>EXIM814</t>
  </si>
  <si>
    <t>Export Import Bank of India (12/03/2026) **</t>
  </si>
  <si>
    <t>INE514E14TA7</t>
  </si>
  <si>
    <t>TPOW243</t>
  </si>
  <si>
    <t>Tata Power Company Limited (11/03/2026) **</t>
  </si>
  <si>
    <t>INE245A14KQ1</t>
  </si>
  <si>
    <t>SIDB641</t>
  </si>
  <si>
    <t>Small Industries Dev Bank of India (13/03/2026) **</t>
  </si>
  <si>
    <t>INE556F14LW6</t>
  </si>
  <si>
    <t>BGFL1170</t>
  </si>
  <si>
    <t>Aditya Birla Capital Limited (13/03/2026) **</t>
  </si>
  <si>
    <t>INE674K14AZ3</t>
  </si>
  <si>
    <t>HDFS330</t>
  </si>
  <si>
    <t>HDFC Securities Limited (12/03/2026) **</t>
  </si>
  <si>
    <t>INE700G14RH6</t>
  </si>
  <si>
    <t>ICBR635</t>
  </si>
  <si>
    <t>ICICI Securities Limited (03/02/2026) **</t>
  </si>
  <si>
    <t>INE763G14C38</t>
  </si>
  <si>
    <t>BGHP210</t>
  </si>
  <si>
    <t>Birla Group Holdings Private Limited (24/02/2026) **</t>
  </si>
  <si>
    <t>INE09OL14IE6</t>
  </si>
  <si>
    <t>MOFS243</t>
  </si>
  <si>
    <t>Motilal Oswal Financial Services Limited (28/01/2026) **</t>
  </si>
  <si>
    <t>INE338I14LE1</t>
  </si>
  <si>
    <t>TISC282</t>
  </si>
  <si>
    <t>Tata Steel Limited (06/03/2026)</t>
  </si>
  <si>
    <t>INE081A14GK1</t>
  </si>
  <si>
    <t>KOSE360</t>
  </si>
  <si>
    <t>Kotak Securities Limited (13/03/2026) **</t>
  </si>
  <si>
    <t>INE028E14TK7</t>
  </si>
  <si>
    <t>HDFS320</t>
  </si>
  <si>
    <t>HDFC Securities Limited (10/02/2026) **</t>
  </si>
  <si>
    <t>INE700G14QX5</t>
  </si>
  <si>
    <t>ICBR639</t>
  </si>
  <si>
    <t>ICICI Securities Limited (13/02/2026) **</t>
  </si>
  <si>
    <t>INE763G14C95</t>
  </si>
  <si>
    <t>HINI122</t>
  </si>
  <si>
    <t>Hindalco Industries Limited (15/01/2026) **</t>
  </si>
  <si>
    <t>INE038A14395</t>
  </si>
  <si>
    <t>BAFL1007</t>
  </si>
  <si>
    <t>Bajaj Finance Limited (12/02/2026) **</t>
  </si>
  <si>
    <t>INE296A14D47</t>
  </si>
  <si>
    <t>HDFS323</t>
  </si>
  <si>
    <t>HDFC Securities Limited (17/02/2026) **</t>
  </si>
  <si>
    <t>INE700G14QY3</t>
  </si>
  <si>
    <t>ICBR622</t>
  </si>
  <si>
    <t>ICICI Securities Limited (10/03/2026) **</t>
  </si>
  <si>
    <t>INE763G14A63</t>
  </si>
  <si>
    <t>IINF163</t>
  </si>
  <si>
    <t>IIFL Finance Limited (05/03/2026) **</t>
  </si>
  <si>
    <t>INE530B14EZ8</t>
  </si>
  <si>
    <t>BGHP206</t>
  </si>
  <si>
    <t>Birla Group Holdings Private Limited (18/12/2025) **</t>
  </si>
  <si>
    <t>INE09OL14HX8</t>
  </si>
  <si>
    <t>ICHF262</t>
  </si>
  <si>
    <t>ICICI Home Finance Company Limited (26/12/2025) **</t>
  </si>
  <si>
    <t>INE071G14HC4</t>
  </si>
  <si>
    <t>BGHP211</t>
  </si>
  <si>
    <t>Birla Group Holdings Private Limited (11/03/2026) **</t>
  </si>
  <si>
    <t>INE09OL14IF3</t>
  </si>
  <si>
    <t>KOSE354</t>
  </si>
  <si>
    <t>Kotak Securities Limited (18/12/2025)</t>
  </si>
  <si>
    <t>INE028E14SX2</t>
  </si>
  <si>
    <t>EFIL126</t>
  </si>
  <si>
    <t>Nuvama Wealth Finance Limited (09/03/2026) **</t>
  </si>
  <si>
    <t>INE918K14CV9</t>
  </si>
  <si>
    <t>DALM143</t>
  </si>
  <si>
    <t>Dalmia Cement (Bharat) Limited (11/02/2026) **</t>
  </si>
  <si>
    <t>INE755K14FQ8</t>
  </si>
  <si>
    <t>PHFL159</t>
  </si>
  <si>
    <t>Piramal Capital &amp; Housing Finance Limited (06/02/2026) **</t>
  </si>
  <si>
    <t>INE516Y14HT5</t>
  </si>
  <si>
    <t>BGHP208</t>
  </si>
  <si>
    <t>Birla Group Holdings Private Limited (11/02/2026) **</t>
  </si>
  <si>
    <t>INE09OL14IC0</t>
  </si>
  <si>
    <t>IINF162</t>
  </si>
  <si>
    <t>IIFL Finance Limited (06/02/2026) **</t>
  </si>
  <si>
    <t>INE530B14FR2</t>
  </si>
  <si>
    <t>TATP68</t>
  </si>
  <si>
    <t>Tata Projects Limited (09/03/2026) **</t>
  </si>
  <si>
    <t>INE725H14DG3</t>
  </si>
  <si>
    <t>JBCI180</t>
  </si>
  <si>
    <t>Julius Baer Capital India Pvt Ltd (16/12/2025)</t>
  </si>
  <si>
    <t>INE824H14SJ6</t>
  </si>
  <si>
    <t>ICHF264</t>
  </si>
  <si>
    <t>ICICI Home Finance Company Limited (24/02/2026) **</t>
  </si>
  <si>
    <t>INE071G14HG5</t>
  </si>
  <si>
    <t>IOIC697</t>
  </si>
  <si>
    <t>Indian Oil Corporation Limited (16/12/2025)</t>
  </si>
  <si>
    <t>INE242A14YO4</t>
  </si>
  <si>
    <t>JBCI168</t>
  </si>
  <si>
    <t>Julius Baer Capital India Pvt Ltd (23/12/2025) **</t>
  </si>
  <si>
    <t>INE824H14RF6</t>
  </si>
  <si>
    <t>IINF159</t>
  </si>
  <si>
    <t>IIFL Finance Limited (31/12/2025) **</t>
  </si>
  <si>
    <t>INE530B14FI1</t>
  </si>
  <si>
    <t>BHAT80</t>
  </si>
  <si>
    <t>Bharti Telecom Limited (13/02/2026) **</t>
  </si>
  <si>
    <t>INE403D14551</t>
  </si>
  <si>
    <t>ICBR636</t>
  </si>
  <si>
    <t>ICICI Securities Limited (02/03/2026) **</t>
  </si>
  <si>
    <t>INE763G14C61</t>
  </si>
  <si>
    <t>NCCL57</t>
  </si>
  <si>
    <t>Nuvoco Vistas Corporation Limited (12/03/2026) **</t>
  </si>
  <si>
    <t>INE118D14AC5</t>
  </si>
  <si>
    <t>NUVI38</t>
  </si>
  <si>
    <t>Nu Vista Limited (12/03/2026) **</t>
  </si>
  <si>
    <t>INE973U14284</t>
  </si>
  <si>
    <t>IIFM96</t>
  </si>
  <si>
    <t>360 One WAM Limited (05/03/2026) **</t>
  </si>
  <si>
    <t>INE466L14FL1</t>
  </si>
  <si>
    <t>BGHP180</t>
  </si>
  <si>
    <t>Birla Group Holdings Private Limited (06/02/2026) **</t>
  </si>
  <si>
    <t>INE09OL14GM3</t>
  </si>
  <si>
    <t>GOSL468</t>
  </si>
  <si>
    <t>Godrej Industries Limited (12/03/2026) **</t>
  </si>
  <si>
    <t>INE233A145T4</t>
  </si>
  <si>
    <t>GOSL469</t>
  </si>
  <si>
    <t>Godrej Industries Limited (13/03/2026) **</t>
  </si>
  <si>
    <t>INE233A145U2</t>
  </si>
  <si>
    <t>ICBR577</t>
  </si>
  <si>
    <t>ICICI Securities Limited (20/02/2026) **</t>
  </si>
  <si>
    <t>INE763G14XZ4</t>
  </si>
  <si>
    <t>NICH1017</t>
  </si>
  <si>
    <t>Piramal Finance Limited (05/02/2026) **</t>
  </si>
  <si>
    <t>INE140A146I7</t>
  </si>
  <si>
    <t>DHFL410</t>
  </si>
  <si>
    <t>Piramal Finance Limited (16/02/2026) **</t>
  </si>
  <si>
    <t>INE202B14PB1</t>
  </si>
  <si>
    <t>RICL211</t>
  </si>
  <si>
    <t>Barclays Investments &amp; Loans (India) Private Limited (27/02/2026) **</t>
  </si>
  <si>
    <t>INE704I14KM9</t>
  </si>
  <si>
    <t>ICBR610</t>
  </si>
  <si>
    <t>ICICI Securities Limited (30/01/2026) **</t>
  </si>
  <si>
    <t>INE763G14ZL9</t>
  </si>
  <si>
    <t>TBIL2591</t>
  </si>
  <si>
    <t>91 Days Tbill (MD 19/02/2026)</t>
  </si>
  <si>
    <t>IN002025X349</t>
  </si>
  <si>
    <t>TBIL2574</t>
  </si>
  <si>
    <t>91 Days Tbill (MD 15/01/2026)</t>
  </si>
  <si>
    <t>IN002025X299</t>
  </si>
  <si>
    <t>TBIL2594</t>
  </si>
  <si>
    <t>91 Days Tbill (MD 26/02/2026)</t>
  </si>
  <si>
    <t>IN002025X356</t>
  </si>
  <si>
    <t>TBIL2561</t>
  </si>
  <si>
    <t>91 Days Tbill (MD 18/12/2025)</t>
  </si>
  <si>
    <t>IN002025X257</t>
  </si>
  <si>
    <t>TBIL2543</t>
  </si>
  <si>
    <t>182 Days Tbill (MD 29/01/2026)</t>
  </si>
  <si>
    <t>IN002025Y180</t>
  </si>
  <si>
    <t>TBIL2456</t>
  </si>
  <si>
    <t>364 Days Tbill (MD 01/01/2026)</t>
  </si>
  <si>
    <t>IN002024Z388</t>
  </si>
  <si>
    <t>TRP_161225_VAL</t>
  </si>
  <si>
    <t>REP16_151225</t>
  </si>
  <si>
    <t>Benchmark Name - NIFTY LIQUID INDEX A-I</t>
  </si>
  <si>
    <t>GOI5677</t>
  </si>
  <si>
    <t>7.49% Haryana State Development Loans (27/03/2035)</t>
  </si>
  <si>
    <t>IN1620230426</t>
  </si>
  <si>
    <t>GOI7198</t>
  </si>
  <si>
    <t>7.44% Madhya Pradesh State Development Loans (03/12/2038)</t>
  </si>
  <si>
    <t>IN2120250260</t>
  </si>
  <si>
    <t>GOI5363</t>
  </si>
  <si>
    <t>7.46% Government of India (06/11/2073)</t>
  </si>
  <si>
    <t>IN0020230127</t>
  </si>
  <si>
    <t>GOI5636</t>
  </si>
  <si>
    <t>7.39% Chhatisgarh State Development Loans (13/03/2033)</t>
  </si>
  <si>
    <t>IN3520230241</t>
  </si>
  <si>
    <t>GOI3661</t>
  </si>
  <si>
    <t>7.05% Andhra Pradesh State Development Loans (01/09/2035)</t>
  </si>
  <si>
    <t>IN1020210234</t>
  </si>
  <si>
    <t>Aggregate Investments by other schemes (At NAV)  as on December 15, 2025 RS 6009.34 Lakh's</t>
  </si>
  <si>
    <t>Benchmark Name - CRISIL DYNAMIC GILT INDEX</t>
  </si>
  <si>
    <t>GOI4025</t>
  </si>
  <si>
    <t>7.42% West Bengal State Development Loans (09/11/2026)</t>
  </si>
  <si>
    <t>IN3420160092</t>
  </si>
  <si>
    <t>GOI775</t>
  </si>
  <si>
    <t>6.90% Government of India (04/02/2026)</t>
  </si>
  <si>
    <t>IN0020089069</t>
  </si>
  <si>
    <t>GOI1566</t>
  </si>
  <si>
    <t>8.08% Maharastra State Development Loans(15/06/2026)</t>
  </si>
  <si>
    <t>IN2220160013</t>
  </si>
  <si>
    <t>GOI1565</t>
  </si>
  <si>
    <t>8.07% Rajasthan State Development Loans (15/06/2026)</t>
  </si>
  <si>
    <t>IN2920160032</t>
  </si>
  <si>
    <t>GOI1464</t>
  </si>
  <si>
    <t>8.83% Uttar Pradesh State Development Loans (24/02/2026)</t>
  </si>
  <si>
    <t>IN3320150383</t>
  </si>
  <si>
    <t>GOI1448</t>
  </si>
  <si>
    <t>8.38% Tamil Nadu State Development Loans (27/01/2026)</t>
  </si>
  <si>
    <t>IN3120150187</t>
  </si>
  <si>
    <t>GOI1472</t>
  </si>
  <si>
    <t>8.60% Bihar State Development Loans (09/03/2026)</t>
  </si>
  <si>
    <t>IN1320150056</t>
  </si>
  <si>
    <t>NBAR839</t>
  </si>
  <si>
    <t>National Bank For Agriculture and Rural Development (25/03/2026) **</t>
  </si>
  <si>
    <t>INE261F16AA7</t>
  </si>
  <si>
    <t>PUBA1092</t>
  </si>
  <si>
    <t>Punjab National Bank (25/03/2026) **</t>
  </si>
  <si>
    <t>INE160A16RP4</t>
  </si>
  <si>
    <t>HDFB1008</t>
  </si>
  <si>
    <t>HDFC Bank Limited (02/04/2026) **</t>
  </si>
  <si>
    <t>INE040A16HC7</t>
  </si>
  <si>
    <t>BKBA547</t>
  </si>
  <si>
    <t>Bank of Baroda (15/05/2026) **</t>
  </si>
  <si>
    <t>INE028A16KJ1</t>
  </si>
  <si>
    <t>HDFB1020</t>
  </si>
  <si>
    <t>HDFC Bank Limited (04/06/2026) **</t>
  </si>
  <si>
    <t>INE040A16HT1</t>
  </si>
  <si>
    <t>SIDB619</t>
  </si>
  <si>
    <t>Small Industries Dev Bank of India (13/10/2026) **</t>
  </si>
  <si>
    <t>INE556F16BL5</t>
  </si>
  <si>
    <t>CANB1070</t>
  </si>
  <si>
    <t>Canara Bank (15/05/2026)</t>
  </si>
  <si>
    <t>INE476A16E79</t>
  </si>
  <si>
    <t>IDBK537</t>
  </si>
  <si>
    <t>IDFC First Bank Limited (09/06/2026) **</t>
  </si>
  <si>
    <t>INE092T16YR1</t>
  </si>
  <si>
    <t>IIBL981</t>
  </si>
  <si>
    <t>IndusInd Bank Limited (20/01/2026) **</t>
  </si>
  <si>
    <t>INE095A16X93</t>
  </si>
  <si>
    <t>UNBI451</t>
  </si>
  <si>
    <t>Union Bank of India (15/05/2026) **</t>
  </si>
  <si>
    <t>INE692A16KC9</t>
  </si>
  <si>
    <t>KMBK890</t>
  </si>
  <si>
    <t>Kotak Mahindra Bank Limited (18/05/2026) **</t>
  </si>
  <si>
    <t>INE237AD6059</t>
  </si>
  <si>
    <t>UNBI453</t>
  </si>
  <si>
    <t>Union Bank of India (20/05/2026) **</t>
  </si>
  <si>
    <t>INE692A16KF2</t>
  </si>
  <si>
    <t>CANB1067</t>
  </si>
  <si>
    <t>Canara Bank (12/06/2026) **</t>
  </si>
  <si>
    <t>INE476A16E20</t>
  </si>
  <si>
    <t>IDBK539</t>
  </si>
  <si>
    <t>IDFC First Bank Limited (27/02/2026) **</t>
  </si>
  <si>
    <t>INE092T16YX9</t>
  </si>
  <si>
    <t>BKBA491</t>
  </si>
  <si>
    <t>Bank of Baroda (11/03/2026)</t>
  </si>
  <si>
    <t>INE028A16HZ3</t>
  </si>
  <si>
    <t>HDFB996</t>
  </si>
  <si>
    <t>HDFC Bank Limited (24/03/2026) **</t>
  </si>
  <si>
    <t>INE040A16GS5</t>
  </si>
  <si>
    <t>IIBL1002</t>
  </si>
  <si>
    <t>IndusInd Bank Limited (15/05/2026) **</t>
  </si>
  <si>
    <t>INE095A160C6</t>
  </si>
  <si>
    <t>KMBK891</t>
  </si>
  <si>
    <t>Kotak Mahindra Bank Limited (31/08/2026) **</t>
  </si>
  <si>
    <t>INE237AD6075</t>
  </si>
  <si>
    <t>INBK507</t>
  </si>
  <si>
    <t>Indian Bank (30/10/2026) **</t>
  </si>
  <si>
    <t>INE562A16PU5</t>
  </si>
  <si>
    <t>NBAR835</t>
  </si>
  <si>
    <t>National Bank For Agriculture and Rural Development (13/03/2026)</t>
  </si>
  <si>
    <t>INE261F16983</t>
  </si>
  <si>
    <t>BKBA518</t>
  </si>
  <si>
    <t>Bank of Baroda (06/04/2026)</t>
  </si>
  <si>
    <t>INE028A16JG9</t>
  </si>
  <si>
    <t>HDFB1010</t>
  </si>
  <si>
    <t>HDFC Bank Limited (05/08/2026)</t>
  </si>
  <si>
    <t>INE040A16HF0</t>
  </si>
  <si>
    <t>SIDB624</t>
  </si>
  <si>
    <t>Small Industries Dev Bank of India (27/10/2026) **</t>
  </si>
  <si>
    <t>INE556F16BN1</t>
  </si>
  <si>
    <t>IDBL846</t>
  </si>
  <si>
    <t>IDBI Bank Limited (23/02/2026) **</t>
  </si>
  <si>
    <t>INE008A16X99</t>
  </si>
  <si>
    <t>NBAR829</t>
  </si>
  <si>
    <t>National Bank For Agriculture and Rural Development (10/03/2026) **</t>
  </si>
  <si>
    <t>INE261F16975</t>
  </si>
  <si>
    <t>INBK502</t>
  </si>
  <si>
    <t>Indian Bank (30/04/2026) **</t>
  </si>
  <si>
    <t>INE562A16PQ3</t>
  </si>
  <si>
    <t>HDFB1015</t>
  </si>
  <si>
    <t>HDFC Bank Limited (11/09/2026) **</t>
  </si>
  <si>
    <t>INE040A16HN4</t>
  </si>
  <si>
    <t>HDFB1022</t>
  </si>
  <si>
    <t>HDFC Bank Limited (13/11/2026) **</t>
  </si>
  <si>
    <t>INE040A16HW5</t>
  </si>
  <si>
    <t>BKBA488</t>
  </si>
  <si>
    <t>Bank of Baroda (13/03/2026) **</t>
  </si>
  <si>
    <t>INE028A16IC0</t>
  </si>
  <si>
    <t>SIDB628</t>
  </si>
  <si>
    <t>Small Industries Dev Bank of India (06/11/2026) **</t>
  </si>
  <si>
    <t>INE556F16BQ4</t>
  </si>
  <si>
    <t>UNBI423</t>
  </si>
  <si>
    <t>Union Bank of India (20/02/2026) **</t>
  </si>
  <si>
    <t>INE692A16IU5</t>
  </si>
  <si>
    <t>FEBA347</t>
  </si>
  <si>
    <t>The Federal Bank Limited (20/02/2026) **</t>
  </si>
  <si>
    <t>INE171A16MU2</t>
  </si>
  <si>
    <t>BKBA535</t>
  </si>
  <si>
    <t>Bank of Baroda (20/05/2026) **</t>
  </si>
  <si>
    <t>INE028A16JZ9</t>
  </si>
  <si>
    <t>BKBA530</t>
  </si>
  <si>
    <t>Bank of Baroda (25/05/2026) **</t>
  </si>
  <si>
    <t>INE028A16JR6</t>
  </si>
  <si>
    <t>CANB1074</t>
  </si>
  <si>
    <t>Canara Bank (29/05/2026) **</t>
  </si>
  <si>
    <t>INE476A16F03</t>
  </si>
  <si>
    <t>SIDB638</t>
  </si>
  <si>
    <t>Small Industries Dev Bank of India (04/12/2026) **</t>
  </si>
  <si>
    <t>INE556F16BS0</t>
  </si>
  <si>
    <t>UNBI446</t>
  </si>
  <si>
    <t>Union Bank of India (22/12/2025)</t>
  </si>
  <si>
    <t>INE692A16JU3</t>
  </si>
  <si>
    <t>NBAR812</t>
  </si>
  <si>
    <t>National Bank For Agriculture and Rural Development (23/01/2026) **</t>
  </si>
  <si>
    <t>INE261F16918</t>
  </si>
  <si>
    <t>SIDB603</t>
  </si>
  <si>
    <t>Small Industries Dev Bank of India (17/03/2026) **</t>
  </si>
  <si>
    <t>INE556F16BE0</t>
  </si>
  <si>
    <t>SIDB604</t>
  </si>
  <si>
    <t>Small Industries Dev Bank of India (05/05/2026) **</t>
  </si>
  <si>
    <t>INE556F16BH3</t>
  </si>
  <si>
    <t>BKBA537</t>
  </si>
  <si>
    <t>Bank of Baroda (16/09/2026) **</t>
  </si>
  <si>
    <t>INE028A16KC6</t>
  </si>
  <si>
    <t>SIDB594</t>
  </si>
  <si>
    <t>Small Industries Dev Bank of India (06/03/2026) **</t>
  </si>
  <si>
    <t>INE556F16BC4</t>
  </si>
  <si>
    <t>SIDB596</t>
  </si>
  <si>
    <t>Small Industries Dev Bank of India (11/03/2026)</t>
  </si>
  <si>
    <t>INE556F16BD2</t>
  </si>
  <si>
    <t>KMBK882</t>
  </si>
  <si>
    <t>Kotak Mahindra Bank Limited (13/03/2026) **</t>
  </si>
  <si>
    <t>INE237A167Z1</t>
  </si>
  <si>
    <t>INBK477</t>
  </si>
  <si>
    <t>Indian Bank (06/05/2026) **</t>
  </si>
  <si>
    <t>INE562A16OS2</t>
  </si>
  <si>
    <t>CANB1030</t>
  </si>
  <si>
    <t>Canara Bank (21/01/2026) **</t>
  </si>
  <si>
    <t>INE476A16A08</t>
  </si>
  <si>
    <t>CANB1063</t>
  </si>
  <si>
    <t>Canara Bank (27/01/2026) **</t>
  </si>
  <si>
    <t>INE476A16E12</t>
  </si>
  <si>
    <t>SIDB590</t>
  </si>
  <si>
    <t>Small Industries Dev Bank of India (06/02/2026) **</t>
  </si>
  <si>
    <t>INE556F16BA8</t>
  </si>
  <si>
    <t>BHFL126</t>
  </si>
  <si>
    <t>Bajaj Housing Finance Limited (20/01/2026) **</t>
  </si>
  <si>
    <t>INE377Y14BA5</t>
  </si>
  <si>
    <t>SIDB637</t>
  </si>
  <si>
    <t>Small Industries Dev Bank of India (03/06/2026) **</t>
  </si>
  <si>
    <t>INE556F14LT2</t>
  </si>
  <si>
    <t>HDFS324</t>
  </si>
  <si>
    <t>HDFC Securities Limited (27/02/2026) **</t>
  </si>
  <si>
    <t>INE700G14RA1</t>
  </si>
  <si>
    <t>KOSE358</t>
  </si>
  <si>
    <t>Kotak Securities Limited (27/02/2026) **</t>
  </si>
  <si>
    <t>INE028E14SR4</t>
  </si>
  <si>
    <t>BGHP194</t>
  </si>
  <si>
    <t>Birla Group Holdings Private Limited (05/03/2026) **</t>
  </si>
  <si>
    <t>INE09OL14HF5</t>
  </si>
  <si>
    <t>NICH1019</t>
  </si>
  <si>
    <t>Piramal Finance Limited (12/03/2026) **</t>
  </si>
  <si>
    <t>INE140A146N7</t>
  </si>
  <si>
    <t>MUFL470</t>
  </si>
  <si>
    <t>Muthoot Finance Limited (12/06/2026) **</t>
  </si>
  <si>
    <t>INE414G14UW7</t>
  </si>
  <si>
    <t>MOFV77</t>
  </si>
  <si>
    <t>Motilal Oswal Finvest Limited (12/06/2026) **</t>
  </si>
  <si>
    <t>INE01WN14BW9</t>
  </si>
  <si>
    <t>HUTE41</t>
  </si>
  <si>
    <t>Tata Teleservices (Maharashtra) Limited (17/11/2026) **</t>
  </si>
  <si>
    <t>INE517B14AG3</t>
  </si>
  <si>
    <t>IIFW333</t>
  </si>
  <si>
    <t>360 One Prime Limited (20/02/2026) **</t>
  </si>
  <si>
    <t>INE248U14RY2</t>
  </si>
  <si>
    <t>BAFL1009</t>
  </si>
  <si>
    <t>Bajaj Finance Limited (05/03/2026) **</t>
  </si>
  <si>
    <t>INE296A14D88</t>
  </si>
  <si>
    <t>TCAL519</t>
  </si>
  <si>
    <t>Tata Capital Limited (19/05/2026) **</t>
  </si>
  <si>
    <t>INE976I14PY7</t>
  </si>
  <si>
    <t>MUFL473</t>
  </si>
  <si>
    <t>Muthoot Finance Limited (17/06/2026) **</t>
  </si>
  <si>
    <t>INE414G14UX5</t>
  </si>
  <si>
    <t>IIFW332</t>
  </si>
  <si>
    <t>360 One Prime Limited (13/02/2026) **</t>
  </si>
  <si>
    <t>INE248U14RZ9</t>
  </si>
  <si>
    <t>BGFL1169</t>
  </si>
  <si>
    <t>Aditya Birla Capital Limited (27/02/2026) **</t>
  </si>
  <si>
    <t>INE674K14AX8</t>
  </si>
  <si>
    <t>MFPL237</t>
  </si>
  <si>
    <t>Infina Finance Private Limited (30/04/2026) **</t>
  </si>
  <si>
    <t>INE879F14MB4</t>
  </si>
  <si>
    <t>IIFW342</t>
  </si>
  <si>
    <t>360 One Prime Limited (29/05/2026) **</t>
  </si>
  <si>
    <t>INE248U14SL7</t>
  </si>
  <si>
    <t>MFPL222</t>
  </si>
  <si>
    <t>Infina Finance Private Limited (17/02/2026) **</t>
  </si>
  <si>
    <t>INE879F14KJ1</t>
  </si>
  <si>
    <t>BGHP174</t>
  </si>
  <si>
    <t>Birla Group Holdings Private Limited (23/01/2026) **</t>
  </si>
  <si>
    <t>INE09OL14GH3</t>
  </si>
  <si>
    <t>CRFS85</t>
  </si>
  <si>
    <t>Credila Financial Services Limited (23/01/2026) **</t>
  </si>
  <si>
    <t>INE539K14BU7</t>
  </si>
  <si>
    <t>MOFS237</t>
  </si>
  <si>
    <t>Motilal Oswal Financial Services Limited (06/03/2026) **</t>
  </si>
  <si>
    <t>INE338I14KT1</t>
  </si>
  <si>
    <t>ARKA28</t>
  </si>
  <si>
    <t>Arka Fincap Limited (27/02/2026) **</t>
  </si>
  <si>
    <t>INE03W114708</t>
  </si>
  <si>
    <t>SHHF37</t>
  </si>
  <si>
    <t>Truhome Finance Limited (30/04/2026) **</t>
  </si>
  <si>
    <t>INE432R14303</t>
  </si>
  <si>
    <t>RICL215</t>
  </si>
  <si>
    <t>Barclays Investments &amp; Loans (India) Private Limited (12/06/2026) **</t>
  </si>
  <si>
    <t>INE704I14KS6</t>
  </si>
  <si>
    <t>MOFS236</t>
  </si>
  <si>
    <t>Motilal Oswal Financial Services Limited (12/06/2026) **</t>
  </si>
  <si>
    <t>INE338I14KS3</t>
  </si>
  <si>
    <t>PILN58</t>
  </si>
  <si>
    <t>Pilani Investment and Industries Corporation Limited (06/02/2026) **</t>
  </si>
  <si>
    <t>INE417C14868</t>
  </si>
  <si>
    <t>GOFL35</t>
  </si>
  <si>
    <t>Godrej Finance Limited (17/02/2026) **</t>
  </si>
  <si>
    <t>INE02KN14440</t>
  </si>
  <si>
    <t>NBAR857</t>
  </si>
  <si>
    <t>National Bank For Agriculture and Rural Development (02/03/2026) **</t>
  </si>
  <si>
    <t>INE261F14OD7</t>
  </si>
  <si>
    <t>SCIN340</t>
  </si>
  <si>
    <t>Standard Chartered Capital Limited (29/05/2026) **</t>
  </si>
  <si>
    <t>INE403G14TR2</t>
  </si>
  <si>
    <t>SCIN339</t>
  </si>
  <si>
    <t>Standard Chartered Capital Limited (05/06/2026) **</t>
  </si>
  <si>
    <t>INE403G14TQ4</t>
  </si>
  <si>
    <t>SCIN327</t>
  </si>
  <si>
    <t>Standard Chartered Capital Limited (27/02/2026) **</t>
  </si>
  <si>
    <t>INE403G14TF7</t>
  </si>
  <si>
    <t>BAFS111</t>
  </si>
  <si>
    <t>Bajaj Financial Securities Limited (18/12/2025) **</t>
  </si>
  <si>
    <t>INE01C314CU9</t>
  </si>
  <si>
    <t>NICH1016</t>
  </si>
  <si>
    <t>Piramal Finance Limited (20/02/2026) **</t>
  </si>
  <si>
    <t>INE140A146J5</t>
  </si>
  <si>
    <t>GOFL36</t>
  </si>
  <si>
    <t>Godrej Finance Limited (27/02/2026) **</t>
  </si>
  <si>
    <t>INE02KN14465</t>
  </si>
  <si>
    <t>MOFV78</t>
  </si>
  <si>
    <t>Motilal Oswal Finvest Limited (15/06/2026) **</t>
  </si>
  <si>
    <t>INE01WN14BU3</t>
  </si>
  <si>
    <t>HDFS331</t>
  </si>
  <si>
    <t>HDFC Securities Limited (16/12/2025)</t>
  </si>
  <si>
    <t>INE700G14PY5</t>
  </si>
  <si>
    <t>SIDB612</t>
  </si>
  <si>
    <t>Small Industries Dev Bank of India (03/03/2026) **</t>
  </si>
  <si>
    <t>INE556F14LG9</t>
  </si>
  <si>
    <t>GOFL38</t>
  </si>
  <si>
    <t>Godrej Finance Limited (05/03/2026) **</t>
  </si>
  <si>
    <t>INE02KN14457</t>
  </si>
  <si>
    <t>TCAL512</t>
  </si>
  <si>
    <t>Tata Capital Limited (11/03/2026) **</t>
  </si>
  <si>
    <t>INE976I14PU5</t>
  </si>
  <si>
    <t>BGHP192</t>
  </si>
  <si>
    <t>Birla Group Holdings Private Limited (13/03/2026) **</t>
  </si>
  <si>
    <t>INE09OL14HC2</t>
  </si>
  <si>
    <t>TBIL2601</t>
  </si>
  <si>
    <t>182 Days Tbill (MD 11/06/2026)</t>
  </si>
  <si>
    <t>IN002025Y370</t>
  </si>
  <si>
    <t>TBIL2590</t>
  </si>
  <si>
    <t>364 Days Tbill (MD 19/11/2026)</t>
  </si>
  <si>
    <t>IN002025Z344</t>
  </si>
  <si>
    <t>TBIL2587</t>
  </si>
  <si>
    <t>364 Days Tbill (MD 12/11/2026)</t>
  </si>
  <si>
    <t>IN002025Z336</t>
  </si>
  <si>
    <t>TBIL2554</t>
  </si>
  <si>
    <t>182 Days Tbill (MD 27/02/2026)</t>
  </si>
  <si>
    <t>IN002025Y222</t>
  </si>
  <si>
    <t>TBIL2581</t>
  </si>
  <si>
    <t>364 Days Tbill (MD 29/10/2026)</t>
  </si>
  <si>
    <t>IN002025Z310</t>
  </si>
  <si>
    <t>TBIL2592</t>
  </si>
  <si>
    <t>182 Days Tbill (MD 21/05/2026)</t>
  </si>
  <si>
    <t>IN002025Y347</t>
  </si>
  <si>
    <t>TBIL2557</t>
  </si>
  <si>
    <t>364 Days Tbill (MD 03/09/2026)</t>
  </si>
  <si>
    <t>IN002025Z237</t>
  </si>
  <si>
    <t>TBIL2532</t>
  </si>
  <si>
    <t>182 Days Tbill (MD 08/01/2026)</t>
  </si>
  <si>
    <t>IN002025Y156</t>
  </si>
  <si>
    <t>TBIL2576</t>
  </si>
  <si>
    <t>364 Days Tbill (MD 15/10/2026)</t>
  </si>
  <si>
    <t>IN002025Z294</t>
  </si>
  <si>
    <t>TBIL2579</t>
  </si>
  <si>
    <t>364 Days Tbill (MD 23/10/2026)</t>
  </si>
  <si>
    <t>IN002025Z302</t>
  </si>
  <si>
    <t>TBIL2545</t>
  </si>
  <si>
    <t>182 Days Tbill (MD 05/02/2026)</t>
  </si>
  <si>
    <t>IN002025Y198</t>
  </si>
  <si>
    <t>TBIL2585</t>
  </si>
  <si>
    <t>364 Days Tbill (MD 06/11/2026)</t>
  </si>
  <si>
    <t>IN002025Z328</t>
  </si>
  <si>
    <t>Aggregate Investments by other schemes (At NAV)  as on December 15, 2025 RS 87927.43 Lakh's</t>
  </si>
  <si>
    <t>Benchmark Name - NIFTY MONEY MARKET INDEX A-I</t>
  </si>
  <si>
    <t>ICHF223</t>
  </si>
  <si>
    <t>8.10% ICICI Home Finance Company Limited (05/03/2027) **</t>
  </si>
  <si>
    <t>INE071G07660</t>
  </si>
  <si>
    <t>LICH666</t>
  </si>
  <si>
    <t>7.8350% LIC Housing Finance Limited (11/05/2027) **</t>
  </si>
  <si>
    <t>INE115A07QO2</t>
  </si>
  <si>
    <t>BHFL88</t>
  </si>
  <si>
    <t>7.7% Bajaj Housing Finance Limited (21/05/2027) **</t>
  </si>
  <si>
    <t>INE377Y07300</t>
  </si>
  <si>
    <t>TCHF397</t>
  </si>
  <si>
    <t>8.0409% Tata Capital Housing Finance Limited (19/03/2027) **</t>
  </si>
  <si>
    <t>INE033L07ID4</t>
  </si>
  <si>
    <r>
      <rPr>
        <b/>
        <sz val="9"/>
        <color rgb="FF000000"/>
        <rFont val="Arial"/>
        <family val="2"/>
      </rPr>
      <t>The DIRF score is 65.73 %</t>
    </r>
  </si>
  <si>
    <t>Benchmark Name - CRISIL-IBX AAA NBFC-HFC INDEX - JUN 2027</t>
  </si>
  <si>
    <t>TBIL2453</t>
  </si>
  <si>
    <t>364 Days Tbill (MD 26/12/2025)</t>
  </si>
  <si>
    <t>IN002024Z370</t>
  </si>
  <si>
    <t>TBIL2530</t>
  </si>
  <si>
    <t>182 Days Tbill (MD 18/12/2025)</t>
  </si>
  <si>
    <t>IN002025Y123</t>
  </si>
  <si>
    <t>REP22_151225</t>
  </si>
  <si>
    <t>REP18_151225</t>
  </si>
  <si>
    <t>REP17_151225</t>
  </si>
  <si>
    <t>REP21_151225</t>
  </si>
  <si>
    <t>REP19_151225</t>
  </si>
  <si>
    <t>REP20_151225</t>
  </si>
  <si>
    <t>Aggregate Investments by other schemes (At NAV)  as on December 15, 2025 RS 4506.66 Lakh's</t>
  </si>
  <si>
    <t>Benchmark Name - NIFTY 1D RATE INDEX</t>
  </si>
  <si>
    <t>Benchmark Name - CRISIL HYBRID 75+25 - CONSERVATIVE INDEX</t>
  </si>
  <si>
    <t>GOI3730</t>
  </si>
  <si>
    <t>7.38% Rajasthan State Development Loans (14/09/2026)</t>
  </si>
  <si>
    <t>IN2920160156</t>
  </si>
  <si>
    <t>GOI3668</t>
  </si>
  <si>
    <t>7.6% Gujarat State Development Loans (09/08/2026)</t>
  </si>
  <si>
    <t>IN1520160087</t>
  </si>
  <si>
    <t>GOI4855</t>
  </si>
  <si>
    <t>7.61% Kerala State Development Loans (09/08/2026)</t>
  </si>
  <si>
    <t>IN2020160072</t>
  </si>
  <si>
    <t>GOI4527</t>
  </si>
  <si>
    <t>7.17% Rajasthan State Development Loans (28/09/2026)</t>
  </si>
  <si>
    <t>IN2920160164</t>
  </si>
  <si>
    <t>GOI1623</t>
  </si>
  <si>
    <t>7.58% Maharashtra State Development Loans(24/08/2026)</t>
  </si>
  <si>
    <t>IN2220160054</t>
  </si>
  <si>
    <t>GOI2759</t>
  </si>
  <si>
    <t>7.16% Maharashtra State Development Loans (28/09/2026)</t>
  </si>
  <si>
    <t>IN2220160070</t>
  </si>
  <si>
    <t>GOI3541</t>
  </si>
  <si>
    <t>7.37% Maharashtra State Development Loans (14/09/2026)</t>
  </si>
  <si>
    <t>IN2220160062</t>
  </si>
  <si>
    <t>GOI4858</t>
  </si>
  <si>
    <t>7.59% Kerala State Development Loans (24/08/2026)</t>
  </si>
  <si>
    <t>IN2020160080</t>
  </si>
  <si>
    <r>
      <rPr>
        <b/>
        <sz val="9"/>
        <color rgb="FF000000"/>
        <rFont val="Arial"/>
        <family val="2"/>
      </rPr>
      <t>The DIRF score is 95.78 %</t>
    </r>
  </si>
  <si>
    <t>Benchmark Name - NIFTY SDL SEP 2026 INDEX</t>
  </si>
  <si>
    <t>148926</t>
  </si>
  <si>
    <t>Axis Nifty AAA Bond Plus SDL Apr 2026 50-50 ETF</t>
  </si>
  <si>
    <t>INF846K01Z04</t>
  </si>
  <si>
    <t>Benchmark Name - NIFTY AAA BOND PLUS SDL APR 2026 50:50 INDEX</t>
  </si>
  <si>
    <t>GOI4062</t>
  </si>
  <si>
    <t>6.18% Gujarat State Development Loans (31/03/2026)</t>
  </si>
  <si>
    <t>IN1520200339</t>
  </si>
  <si>
    <t>POWF497</t>
  </si>
  <si>
    <t>7.58% Power Finance Corporation Limited (15/01/2026) **</t>
  </si>
  <si>
    <t>INE134E08LZ0</t>
  </si>
  <si>
    <t>POWF545</t>
  </si>
  <si>
    <t>7.75% Power Finance Corporation Limited (15/04/2026) **</t>
  </si>
  <si>
    <t>INE134E08NQ5</t>
  </si>
  <si>
    <t>GOI1475</t>
  </si>
  <si>
    <t>8.88% West Bengal State Development Loans (24/02/2026)</t>
  </si>
  <si>
    <t>IN3420150150</t>
  </si>
  <si>
    <t>GOI1474</t>
  </si>
  <si>
    <t>8.51% Maharashtra State Development Loans (09/03/2026)</t>
  </si>
  <si>
    <t>IN2220150204</t>
  </si>
  <si>
    <t>GOI1517</t>
  </si>
  <si>
    <t>8% Gujarat State Development Loans(20/04/2026)</t>
  </si>
  <si>
    <t>IN1520160012</t>
  </si>
  <si>
    <t>GOI2218</t>
  </si>
  <si>
    <t>8.28% Karnataka State Development Loans (06/03/2026)</t>
  </si>
  <si>
    <t>IN1920180198</t>
  </si>
  <si>
    <t>GOI1462</t>
  </si>
  <si>
    <t>8.67% Maharastra State Development Loans (24/02/2026)</t>
  </si>
  <si>
    <t>IN2220150196</t>
  </si>
  <si>
    <t>GOI4585</t>
  </si>
  <si>
    <t>8.02% Uttar Pradesh State Development Loans (20/04/2026)</t>
  </si>
  <si>
    <t>IN3320160010</t>
  </si>
  <si>
    <t>GOI4352</t>
  </si>
  <si>
    <t>6.18% Gujarat State Development Loans (25/01/2026)</t>
  </si>
  <si>
    <t>IN1520210171</t>
  </si>
  <si>
    <t>GOI2941</t>
  </si>
  <si>
    <t>8.34% Uttar Pradesh State Development Loans (13/01/2026)</t>
  </si>
  <si>
    <t>IN3320150359</t>
  </si>
  <si>
    <t>GOI1447</t>
  </si>
  <si>
    <t>8.38% Karnataka State Development Loans (27/01/2026)</t>
  </si>
  <si>
    <t>IN1920150084</t>
  </si>
  <si>
    <t>GOI1434</t>
  </si>
  <si>
    <t>8.27% Gujarat State Development Loans (13/01/2026)</t>
  </si>
  <si>
    <t>IN1520150104</t>
  </si>
  <si>
    <t>GOI4604</t>
  </si>
  <si>
    <t>8.01% Tamilnadu State Development Loans (20/04/2026)</t>
  </si>
  <si>
    <t>IN3120160012</t>
  </si>
  <si>
    <t>GOI1458</t>
  </si>
  <si>
    <t>8.49% Tamil Nadu State Development Loans (10/02/2026)</t>
  </si>
  <si>
    <t>IN3120150195</t>
  </si>
  <si>
    <t>GOI1647</t>
  </si>
  <si>
    <t>8.53% Uttar Pradesh State Development Loans (10/02/2026)</t>
  </si>
  <si>
    <t>IN3320150375</t>
  </si>
  <si>
    <t>GOI3087</t>
  </si>
  <si>
    <t>8.4% West Bangal State Development Loans (27/01/2026)</t>
  </si>
  <si>
    <t>IN3420150135</t>
  </si>
  <si>
    <t>GOI1433</t>
  </si>
  <si>
    <t>8.27% Tamilnadu State Development Loans (13/01/2026)</t>
  </si>
  <si>
    <t>IN3120150179</t>
  </si>
  <si>
    <t>GOI3573</t>
  </si>
  <si>
    <t>8.1% West Bangal State Development Loans (23/03/2026)</t>
  </si>
  <si>
    <t>IN3420150176</t>
  </si>
  <si>
    <r>
      <rPr>
        <b/>
        <sz val="9"/>
        <color rgb="FF000000"/>
        <rFont val="Arial"/>
        <family val="2"/>
      </rPr>
      <t>The DIRF score is 84.04 %</t>
    </r>
  </si>
  <si>
    <t>Aggregate Investments by other schemes (At NAV)  as on December 15, 2025 RS 24286.09 Lakh's</t>
  </si>
  <si>
    <t>RECL462</t>
  </si>
  <si>
    <t>7.55% REC Limited (31/10/2026) **</t>
  </si>
  <si>
    <t>INE020B08FH7</t>
  </si>
  <si>
    <t>SHTR515</t>
  </si>
  <si>
    <t>09.15% Shriram Finance Limited (28/06/2029) **</t>
  </si>
  <si>
    <t>INE721A07SD6</t>
  </si>
  <si>
    <t>SIDB534</t>
  </si>
  <si>
    <t>7.79% Small Industries Dev Bank of India (19/04/2027) **</t>
  </si>
  <si>
    <t>INE556F08KK5</t>
  </si>
  <si>
    <t>SIDB525</t>
  </si>
  <si>
    <t>7.55% Small Industries Dev Bank of India (22/09/2026) **</t>
  </si>
  <si>
    <t>INE556F08KJ7</t>
  </si>
  <si>
    <t>GSGL25</t>
  </si>
  <si>
    <t>7.99% Godrej Seeds &amp; Genetics Limited (26/12/2028) **</t>
  </si>
  <si>
    <t>INE316Z08055</t>
  </si>
  <si>
    <t>BGFL1111</t>
  </si>
  <si>
    <t>8.46% Aditya Birla Capital Limited (26/02/2027) (FRN) **</t>
  </si>
  <si>
    <t>INE860H07IX6</t>
  </si>
  <si>
    <t>GSGL24</t>
  </si>
  <si>
    <t>7.99% Godrej Seeds &amp; Genetics Limited (26/03/2029) **</t>
  </si>
  <si>
    <t>INE316Z08063</t>
  </si>
  <si>
    <t>POWF552</t>
  </si>
  <si>
    <t>6.27% Power Finance Corporation Limited (15/07/2027) **</t>
  </si>
  <si>
    <t>INE134E08NT9</t>
  </si>
  <si>
    <t>BHAT85</t>
  </si>
  <si>
    <t>7.35% Bharti Telecom Limited (15/10/2027) **</t>
  </si>
  <si>
    <t>INE403D08272</t>
  </si>
  <si>
    <t>GODP242</t>
  </si>
  <si>
    <t>8.40% Godrej Properties Limited (25/01/2028) **</t>
  </si>
  <si>
    <t>INE484J08089</t>
  </si>
  <si>
    <t>AAHF94</t>
  </si>
  <si>
    <t>8.37% Aadhar Housing Finance Limited (29/05/2028) **</t>
  </si>
  <si>
    <t>INE883F07389</t>
  </si>
  <si>
    <t>SUMM25</t>
  </si>
  <si>
    <t>8.19% Summit Digitel Infrastructure Limited (01/11/2026) **</t>
  </si>
  <si>
    <t>INE507T07112</t>
  </si>
  <si>
    <t>DCCD21</t>
  </si>
  <si>
    <t>8.4% DLF Cyber City Developers Limited (18/06/2027) **</t>
  </si>
  <si>
    <t>INE186K07098</t>
  </si>
  <si>
    <t>MEBP28</t>
  </si>
  <si>
    <t>7.75% Mindspace Business Parks REIT (30/06/2026) **</t>
  </si>
  <si>
    <t>INE0CCU07082</t>
  </si>
  <si>
    <t>MUFL447</t>
  </si>
  <si>
    <t>8.65% Muthoot Finance Limited (31/01/2028) **</t>
  </si>
  <si>
    <t>INE414G07JL7</t>
  </si>
  <si>
    <t>MUFL456</t>
  </si>
  <si>
    <t>8.60% Muthoot Finance Limited (02/03/2028) **</t>
  </si>
  <si>
    <t>INE414G07JM5</t>
  </si>
  <si>
    <t>IRLY293</t>
  </si>
  <si>
    <t>7.83% Indian Railway Finance Corporation Limited (19/03/2027) **</t>
  </si>
  <si>
    <t>INE053F07983</t>
  </si>
  <si>
    <t>LICH686</t>
  </si>
  <si>
    <t>7.74% LIC Housing Finance Limited (22/10/2027)</t>
  </si>
  <si>
    <t>INE115A07QZ8</t>
  </si>
  <si>
    <t>RECL449</t>
  </si>
  <si>
    <t>7.71% REC Limited (26/02/2027) **</t>
  </si>
  <si>
    <t>INE020B08EW9</t>
  </si>
  <si>
    <t>POWF398</t>
  </si>
  <si>
    <t>7.30% Power Finance Corporation Limited (07/08/2027) **</t>
  </si>
  <si>
    <t>INE134E08JE9</t>
  </si>
  <si>
    <t>POWF368</t>
  </si>
  <si>
    <t>7.18% Power Finance Corporation Limited (20/01/2027) **</t>
  </si>
  <si>
    <t>INE134E08IR3</t>
  </si>
  <si>
    <t>LICH701</t>
  </si>
  <si>
    <t>6.90% LIC Housing Finance Limited (17/09/2027) **</t>
  </si>
  <si>
    <t>INE115A07RH4</t>
  </si>
  <si>
    <t>IRLY395</t>
  </si>
  <si>
    <t>6.47% Indian Railway Finance Corporation Limited (30/05/2028) **</t>
  </si>
  <si>
    <t>INE053F08510</t>
  </si>
  <si>
    <t>POWF551</t>
  </si>
  <si>
    <t>6.64% Power Finance Corporation Limited (15/07/2030) **</t>
  </si>
  <si>
    <t>INE134E08NR3</t>
  </si>
  <si>
    <t>BHFL97</t>
  </si>
  <si>
    <t>7.98% Bajaj Housing Finance Limited (18/11/2027) **</t>
  </si>
  <si>
    <t>INE377Y07383</t>
  </si>
  <si>
    <t>GOI6566</t>
  </si>
  <si>
    <t>7.39% Andhra Pradesh State Development Loans (03/04/2030)</t>
  </si>
  <si>
    <t>IN1020240017</t>
  </si>
  <si>
    <t>GOFL24</t>
  </si>
  <si>
    <t>8.75% Godrej Finance Limited (18/01/2027) **</t>
  </si>
  <si>
    <t>INE02KN07022</t>
  </si>
  <si>
    <t>NBAR741</t>
  </si>
  <si>
    <t>7.8% National Bank For Agriculture and Rural Development (15/03/2027) **</t>
  </si>
  <si>
    <t>INE261F08EF5</t>
  </si>
  <si>
    <t>DCCD22</t>
  </si>
  <si>
    <t>6.92% DLF Cyber City Developers Limited (28/07/2028) **</t>
  </si>
  <si>
    <t>INE186K07122</t>
  </si>
  <si>
    <t>MUFL421</t>
  </si>
  <si>
    <t>8.95% Muthoot Finance Limited (03/05/2027) **</t>
  </si>
  <si>
    <t>INE414G07JD4</t>
  </si>
  <si>
    <t>GOI5026</t>
  </si>
  <si>
    <t>7.7% Andhra Pradesh State Development Loans (08/03/2029)</t>
  </si>
  <si>
    <t>IN1020220720</t>
  </si>
  <si>
    <t>GSGL21</t>
  </si>
  <si>
    <t>7.68% Godrej Seeds &amp; Genetics Limited (28/04/2028) **</t>
  </si>
  <si>
    <t>INE316Z08048</t>
  </si>
  <si>
    <t>GOI5099</t>
  </si>
  <si>
    <t>7.6% Andhra Pradesh State Development Loans (06/04/2029)</t>
  </si>
  <si>
    <t>IN1020230018</t>
  </si>
  <si>
    <t>SHTR526</t>
  </si>
  <si>
    <t>8.7% Shriram Finance Limited (09/04/2028)</t>
  </si>
  <si>
    <t>INE721A07SL9</t>
  </si>
  <si>
    <t>KOMP1709</t>
  </si>
  <si>
    <t>8.08% Kotak Mahindra Prime Limited (21/10/2027) **</t>
  </si>
  <si>
    <t>INE916DA7SV2</t>
  </si>
  <si>
    <t>LICH437</t>
  </si>
  <si>
    <t>7.75% LIC Housing Finance Limited (23/11/2027) **</t>
  </si>
  <si>
    <t>INE115A07MQ6</t>
  </si>
  <si>
    <t>RECL465</t>
  </si>
  <si>
    <t>7.34% REC Limited (30/04/2030) **</t>
  </si>
  <si>
    <t>INE020B08FL9</t>
  </si>
  <si>
    <t>GODP225</t>
  </si>
  <si>
    <t>8.30% Godrej Properties Limited (19/03/2027) **</t>
  </si>
  <si>
    <t>INE484J08055</t>
  </si>
  <si>
    <t>POWF500</t>
  </si>
  <si>
    <t>7.77% Power Finance Corporation Limited (15/07/2026)</t>
  </si>
  <si>
    <t>INE134E08MC7</t>
  </si>
  <si>
    <t>RECL458</t>
  </si>
  <si>
    <t>7.70% REC Limited (31/08/2026) **</t>
  </si>
  <si>
    <t>INE020B08FC8</t>
  </si>
  <si>
    <t>GOI6567</t>
  </si>
  <si>
    <t>6.54% Rajasthan State Development Loans (18/11/2030)</t>
  </si>
  <si>
    <t>IN2920200481</t>
  </si>
  <si>
    <t>BHAT79</t>
  </si>
  <si>
    <t>8.9% Bharti Telecom Limited (05/11/2034) **</t>
  </si>
  <si>
    <t>INE403D08215</t>
  </si>
  <si>
    <t>MUFL464</t>
  </si>
  <si>
    <t>8.05% Muthoot Finance Limited (25/11/2027) **</t>
  </si>
  <si>
    <t>INE414G07JQ6</t>
  </si>
  <si>
    <t>GSGL20</t>
  </si>
  <si>
    <t>7.68% Godrej Seeds &amp; Genetics Limited (28/01/2028) **</t>
  </si>
  <si>
    <t>INE316Z08022</t>
  </si>
  <si>
    <t>GSGL23</t>
  </si>
  <si>
    <t>7.68% Godrej Seeds &amp; Genetics Limited (27/10/2028) **</t>
  </si>
  <si>
    <t>INE316Z08014</t>
  </si>
  <si>
    <t>GSGL22</t>
  </si>
  <si>
    <t>7.68% Godrej Seeds &amp; Genetics Limited (28/07/2028) **</t>
  </si>
  <si>
    <t>INE316Z08030</t>
  </si>
  <si>
    <t>GOI6099</t>
  </si>
  <si>
    <t>Government of India (05/08/2032)</t>
  </si>
  <si>
    <t>IN000832C039</t>
  </si>
  <si>
    <t>GOI6669</t>
  </si>
  <si>
    <t>Government of India (15/10/2032)</t>
  </si>
  <si>
    <t>IN001032C043</t>
  </si>
  <si>
    <t>GOI3121</t>
  </si>
  <si>
    <t>6.76% Government of India (22/08/2027)</t>
  </si>
  <si>
    <t>IN000827C021</t>
  </si>
  <si>
    <t>SHTR505</t>
  </si>
  <si>
    <t>9.233% Shriram Finance Limited (18/05/2027) **</t>
  </si>
  <si>
    <t>INE721A07RV0</t>
  </si>
  <si>
    <t>EOPR32</t>
  </si>
  <si>
    <t>7.96% Embassy Office Parks REIT (27/09/2027) **</t>
  </si>
  <si>
    <t>INE041007142</t>
  </si>
  <si>
    <t>POWF483</t>
  </si>
  <si>
    <t>6.09% Power Finance Corporation Limited (27/08/2026) **</t>
  </si>
  <si>
    <t>INE134E08LK2</t>
  </si>
  <si>
    <t>GOI5783</t>
  </si>
  <si>
    <t>Government of India (22/10/2028)</t>
  </si>
  <si>
    <t>IN001028C033</t>
  </si>
  <si>
    <t>GOI2936</t>
  </si>
  <si>
    <t>4.7% Government of India (22/09/2033)</t>
  </si>
  <si>
    <t>IN0020200120</t>
  </si>
  <si>
    <t>GOI4964</t>
  </si>
  <si>
    <t>7.54% Andhra Pradesh State Development Loans (11/01/2029)</t>
  </si>
  <si>
    <t>IN1020220613</t>
  </si>
  <si>
    <t>GOSL411</t>
  </si>
  <si>
    <t>8.30% Godrej Industries Limited (12/06/2026) **</t>
  </si>
  <si>
    <t>INE233A08071</t>
  </si>
  <si>
    <t>GOI6102</t>
  </si>
  <si>
    <t>Government of India (05/02/2027)</t>
  </si>
  <si>
    <t>IN000227C032</t>
  </si>
  <si>
    <t>GOI6104</t>
  </si>
  <si>
    <t>Government of India (05/02/2028)</t>
  </si>
  <si>
    <t>IN000228C030</t>
  </si>
  <si>
    <t>GOI1089</t>
  </si>
  <si>
    <t>9.20% Government of India (30/09/2030)</t>
  </si>
  <si>
    <t>IN0020130053</t>
  </si>
  <si>
    <t>NBAR471</t>
  </si>
  <si>
    <t>8.22% National Bank For Agriculture and Rural Development (13/12/2028) **</t>
  </si>
  <si>
    <t>INE261F08AV0</t>
  </si>
  <si>
    <t>GOI1954</t>
  </si>
  <si>
    <t>7.75% Gujarat State Development Loans (13/12/2027)</t>
  </si>
  <si>
    <t>IN1520170136</t>
  </si>
  <si>
    <t>LICH537</t>
  </si>
  <si>
    <t>7.99% LIC Housing Finance Limited (12/07/2029) **</t>
  </si>
  <si>
    <t>INE115A07OF5</t>
  </si>
  <si>
    <t>GOI2738</t>
  </si>
  <si>
    <t>6.69% Tamilnadu State Development Loans (23/09/2030)</t>
  </si>
  <si>
    <t>IN3120200297</t>
  </si>
  <si>
    <t>TCHF351</t>
  </si>
  <si>
    <t>6.50% Tata Capital Housing Finance Limited (15/06/2026) **</t>
  </si>
  <si>
    <t>INE033L07HF1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</si>
  <si>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</si>
  <si>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</si>
  <si>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</si>
  <si>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</si>
  <si>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</si>
  <si>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</si>
  <si>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CHOL1035</t>
  </si>
  <si>
    <t>8.5% Cholamandalam Investment and Finance Company Ltd (30/01/2027)</t>
  </si>
  <si>
    <t>INE121A07RT7</t>
  </si>
  <si>
    <t>GOI6306</t>
  </si>
  <si>
    <t>6.75% Government of India (23/12/2029)</t>
  </si>
  <si>
    <t>IN0020240183</t>
  </si>
  <si>
    <t>GOI4067</t>
  </si>
  <si>
    <t>7.17% West Bangal State Development Loans (02/03/2032)</t>
  </si>
  <si>
    <t>IN3420210269</t>
  </si>
  <si>
    <t>GOI1864</t>
  </si>
  <si>
    <t>6.79% Government of India (15/05/2027)</t>
  </si>
  <si>
    <t>IN0020170026</t>
  </si>
  <si>
    <t>FCOI31</t>
  </si>
  <si>
    <t>7.64% Food Corporation Of India (12/12/2029) **</t>
  </si>
  <si>
    <t>INE861G08050</t>
  </si>
  <si>
    <t>GOI1673</t>
  </si>
  <si>
    <t>6.79% Government of India (26/12/2029)</t>
  </si>
  <si>
    <t>IN0020160118</t>
  </si>
  <si>
    <t>BHFL100</t>
  </si>
  <si>
    <t>7.90% Bajaj Housing Finance Limited (28/04/2028) **</t>
  </si>
  <si>
    <t>INE377Y07417</t>
  </si>
  <si>
    <t>HDBF310</t>
  </si>
  <si>
    <t>8.3774% HDB Financial Services Limited (24/04/2026) **</t>
  </si>
  <si>
    <t>INE756I07ER5</t>
  </si>
  <si>
    <t>GOI6639</t>
  </si>
  <si>
    <t>7.16% Rajasthan State Development Loans (16/10/2029)</t>
  </si>
  <si>
    <t>IN2920190237</t>
  </si>
  <si>
    <t>GOI838</t>
  </si>
  <si>
    <t>8.97% Government of India (05/12/2030)</t>
  </si>
  <si>
    <t>IN0020110055</t>
  </si>
  <si>
    <t>GOI7024</t>
  </si>
  <si>
    <t>7.45% Bihar State Development Loans (10/09/2034)</t>
  </si>
  <si>
    <t>IN1320250104</t>
  </si>
  <si>
    <t>RLSP22</t>
  </si>
  <si>
    <t>7.7954% Reliance Life Sciences Private Limited (05/11/2027) ** #</t>
  </si>
  <si>
    <t>INE11LM07031</t>
  </si>
  <si>
    <t>SATR50</t>
  </si>
  <si>
    <t>Sansar Trust (25/04/2031) **</t>
  </si>
  <si>
    <t>INE1WMT15017</t>
  </si>
  <si>
    <t>SATR46</t>
  </si>
  <si>
    <t>Sansar Trust (25/06/2030) **</t>
  </si>
  <si>
    <t>INE0YWN15017</t>
  </si>
  <si>
    <t>SATR42</t>
  </si>
  <si>
    <t>Sansar Trust (17/03/2028) **</t>
  </si>
  <si>
    <t>INE0RVR15014</t>
  </si>
  <si>
    <t>IUNT20</t>
  </si>
  <si>
    <t>India Universal Trust (20/09/2026) **</t>
  </si>
  <si>
    <t>INE16J715019</t>
  </si>
  <si>
    <t>CANB1035</t>
  </si>
  <si>
    <t>Canara Bank (20/02/2026) **</t>
  </si>
  <si>
    <t>INE476A16A57</t>
  </si>
  <si>
    <t>SIDB639</t>
  </si>
  <si>
    <t>INE556F14LU0</t>
  </si>
  <si>
    <t>#Unlisted Security</t>
  </si>
  <si>
    <t>FRN - Floating Rate Note , ZCB - Zero Coupon Bond</t>
  </si>
  <si>
    <t>Aggregate Investments by other schemes (At NAV)  as on December 15, 2025 RS 21470.32 Lakh's</t>
  </si>
  <si>
    <t>Benchmark Name - NIFTY SHORT DURATION DEBT INDEX A-II</t>
  </si>
  <si>
    <t>IRS2198414</t>
  </si>
  <si>
    <t>Interest Rate Swaps Pay Fix Receive Floating -ICISECPD (16/09/2027) (FV 2500 Lacs)</t>
  </si>
  <si>
    <t>IRS2350602</t>
  </si>
  <si>
    <t>Interest Rate Swaps Pay Floating Receive Fix -BARC (04/12/2027) (FV 5000 Lacs)</t>
  </si>
  <si>
    <t>IRS2068357</t>
  </si>
  <si>
    <t>IRS1854677</t>
  </si>
  <si>
    <t>Interest Rate Swaps Pay Fix Receive Floating -ICISECPD (19/03/2026) (FV 5000 Lacs)</t>
  </si>
  <si>
    <t>IRS1837676</t>
  </si>
  <si>
    <t>Interest Rate Swaps Pay Fix Receive Floating -ICICI BANK (07/03/2026) (FV 5000 Lacs)</t>
  </si>
  <si>
    <t>IRS1834757</t>
  </si>
  <si>
    <t>Interest Rate Swaps Pay Fix Receive Floating -ICISECPD (06/03/2026) (FV 5000 Lacs)</t>
  </si>
  <si>
    <t>IRS2291027</t>
  </si>
  <si>
    <t>Interest Rate Swaps Pay Floating Receive Fix -DBS (06/11/2027) (FV 5000 Lacs)</t>
  </si>
  <si>
    <t>IRS1887055</t>
  </si>
  <si>
    <t>Interest Rate Swaps Pay Fix Receive Floating -ICICI BANK (04/04/2027) (FV 2500 Lacs)</t>
  </si>
  <si>
    <t>IRS1858358</t>
  </si>
  <si>
    <t>Interest Rate Swaps Pay Fix Receive Floating -ICICI BANK (20/03/2026) (FV 10000 Lacs)</t>
  </si>
  <si>
    <t>IRS1840563</t>
  </si>
  <si>
    <t>Interest Rate Swaps Pay Fix Receive Floating -ICICI BANK (10/03/2027) (FV 2500 Lacs)</t>
  </si>
  <si>
    <t>IRS1795059</t>
  </si>
  <si>
    <t>Interest Rate Swaps Pay Fix Receive Floating -ICISECPD (07/02/2027) (FV 2500 Lacs)</t>
  </si>
  <si>
    <t>MALE645</t>
  </si>
  <si>
    <t>7.55% Poonawalla Fincorp Limited (25/03/2027) **</t>
  </si>
  <si>
    <t>INE511C07946</t>
  </si>
  <si>
    <t>PFPL129</t>
  </si>
  <si>
    <t>9% Piramal Finance Limited (28/06/2027) **</t>
  </si>
  <si>
    <t>INE202B07JT0</t>
  </si>
  <si>
    <t>GOI1676</t>
  </si>
  <si>
    <t>7.29% West Bengal State Development Loans (28/12/2026)</t>
  </si>
  <si>
    <t>IN3420160126</t>
  </si>
  <si>
    <t>LICH635</t>
  </si>
  <si>
    <t>7.7201% LIC Housing Finance Limited (12/02/2026) **</t>
  </si>
  <si>
    <t>INE115A07QB9</t>
  </si>
  <si>
    <t>GOI6060</t>
  </si>
  <si>
    <t>7.1% West Bangal State Development Loans (14/12/2026)</t>
  </si>
  <si>
    <t>IN3420160118</t>
  </si>
  <si>
    <t>GOI1759</t>
  </si>
  <si>
    <t>7.74% Tamilnadu State Development Loans (01/03/2027)</t>
  </si>
  <si>
    <t>IN3120161309</t>
  </si>
  <si>
    <t>GOI1575</t>
  </si>
  <si>
    <t>8.18% Haryana Uday Bond (15/06/2026)</t>
  </si>
  <si>
    <t>IN1620160052</t>
  </si>
  <si>
    <t>TATP67</t>
  </si>
  <si>
    <t>8.33% Tata Projects Limited (24/06/2027) **</t>
  </si>
  <si>
    <t>INE725H08188</t>
  </si>
  <si>
    <t>NCIP38</t>
  </si>
  <si>
    <t>8.55% Nomura Capital India Pvt Limited (30/04/2026) **</t>
  </si>
  <si>
    <t>INE357L07465</t>
  </si>
  <si>
    <t>MUFL467</t>
  </si>
  <si>
    <t>7.88% Muthoot Finance Limited (22/11/2028)</t>
  </si>
  <si>
    <t>INE414G07JS2</t>
  </si>
  <si>
    <t>GOI1713</t>
  </si>
  <si>
    <t>7.59% Karnataka State Development Loans (15/02/2027)</t>
  </si>
  <si>
    <t>IN1920160091</t>
  </si>
  <si>
    <t>GOI3540</t>
  </si>
  <si>
    <t>8.49% Kerala State Development Loans (10/02/2026)</t>
  </si>
  <si>
    <t>IN2020150156</t>
  </si>
  <si>
    <t>GOI1702</t>
  </si>
  <si>
    <t>7.19% Gujarat State Development Loans (25/01/2027)</t>
  </si>
  <si>
    <t>IN1520160186</t>
  </si>
  <si>
    <t>GOI4547</t>
  </si>
  <si>
    <t>7.1% Bihar State Development Loans (14/12/2026)</t>
  </si>
  <si>
    <t>IN1320160121</t>
  </si>
  <si>
    <t>POWF520</t>
  </si>
  <si>
    <t>Power Finance Corporation Limited (25/08/2026) (ZCB) **</t>
  </si>
  <si>
    <t>INE134E08MS3</t>
  </si>
  <si>
    <t>NBAR732</t>
  </si>
  <si>
    <t>7.83% National Bank For Agriculture and Rural Development (30/12/2026) **</t>
  </si>
  <si>
    <t>INE261F08ED0</t>
  </si>
  <si>
    <t>EOPR27</t>
  </si>
  <si>
    <t>7.05% Embassy Office Parks REIT (18/10/2026) **</t>
  </si>
  <si>
    <t>INE041007084</t>
  </si>
  <si>
    <t>EOPR39</t>
  </si>
  <si>
    <t>7.22% Embassy Office Parks REIT (16/05/2028) **</t>
  </si>
  <si>
    <t>INE041007175</t>
  </si>
  <si>
    <t>NBAR701</t>
  </si>
  <si>
    <t>7.58% National Bank For Agriculture and Rural Development (31/07/2026)</t>
  </si>
  <si>
    <t>INE261F08DX0</t>
  </si>
  <si>
    <t>HDBF319</t>
  </si>
  <si>
    <t>8.0736% HDB Financial Services Limited (17/04/2026) **</t>
  </si>
  <si>
    <t>INE756I07EP9</t>
  </si>
  <si>
    <t>GOI4236</t>
  </si>
  <si>
    <t>6.89% Bihar State Development Loans (23/11/2026)</t>
  </si>
  <si>
    <t>IN1320160113</t>
  </si>
  <si>
    <t>GOI7138</t>
  </si>
  <si>
    <t>6.88% West Bangal State Development Loans (23/11/2026)</t>
  </si>
  <si>
    <t>IN3420160100</t>
  </si>
  <si>
    <t>GOI654</t>
  </si>
  <si>
    <t>8% Government of India (23/03/2026)</t>
  </si>
  <si>
    <t>IN0020089077</t>
  </si>
  <si>
    <t>GOI7148</t>
  </si>
  <si>
    <t>6.43% Assam State Development Loans (17/03/2026)</t>
  </si>
  <si>
    <t>IN1220200340</t>
  </si>
  <si>
    <t>GOI588</t>
  </si>
  <si>
    <t>7.95% Government of India (18/02/2026)</t>
  </si>
  <si>
    <t>IN0020079037</t>
  </si>
  <si>
    <t>GOI1792</t>
  </si>
  <si>
    <t>8.48% Rajasthan State Development Loans (10/02/2026)</t>
  </si>
  <si>
    <t>IN2920150249</t>
  </si>
  <si>
    <t>RLSP21</t>
  </si>
  <si>
    <t>7.7954% Reliance Life Sciences Private Limited (08/05/2026) ** #</t>
  </si>
  <si>
    <t>INE11LM07023</t>
  </si>
  <si>
    <t>LIGS26</t>
  </si>
  <si>
    <t>Liquid Gold Series (20/01/2028) **</t>
  </si>
  <si>
    <t>INE2JYU15015</t>
  </si>
  <si>
    <t>IUNT23</t>
  </si>
  <si>
    <t>India Universal Trust (21/11/2026) **</t>
  </si>
  <si>
    <t>INE1CBK15011</t>
  </si>
  <si>
    <t>BKBA521</t>
  </si>
  <si>
    <t>Bank of Baroda (27/01/2026)</t>
  </si>
  <si>
    <t>INE028A16JH7</t>
  </si>
  <si>
    <t>BKBA531</t>
  </si>
  <si>
    <t>Bank of Baroda (23/02/2026) **</t>
  </si>
  <si>
    <t>INE028A16JO3</t>
  </si>
  <si>
    <t>HDFB990</t>
  </si>
  <si>
    <t>HDFC Bank Limited (25/02/2026) **</t>
  </si>
  <si>
    <t>INE040A16GJ4</t>
  </si>
  <si>
    <t>IIBL991</t>
  </si>
  <si>
    <t>IndusInd Bank Limited (11/03/2026) **</t>
  </si>
  <si>
    <t>INE095A16Z42</t>
  </si>
  <si>
    <t>IDBL844</t>
  </si>
  <si>
    <t>IDBI Bank Limited (03/02/2026) **</t>
  </si>
  <si>
    <t>INE008A16X65</t>
  </si>
  <si>
    <t>HDFB986</t>
  </si>
  <si>
    <t>HDFC Bank Limited (06/02/2026) **</t>
  </si>
  <si>
    <t>INE040A16GF2</t>
  </si>
  <si>
    <t>Benchmark Name - NIFTY LOW DURATION DEBT INDEX A-I</t>
  </si>
  <si>
    <t>10200800USD</t>
  </si>
  <si>
    <t>iShares USD Treasury Bond 7-10yr UCITS ETF</t>
  </si>
  <si>
    <t>IE00B3VWN518</t>
  </si>
  <si>
    <t>Benchmark Name - BLOOMBERG US INTERMEDIATE TREASURY TRI</t>
  </si>
  <si>
    <t>IRS2222260</t>
  </si>
  <si>
    <t>Interest Rate Swaps Pay Fix Receive Floating -HSBC BANK (30/09/2027) (FV 10000 Lacs)</t>
  </si>
  <si>
    <t>IRS2194839</t>
  </si>
  <si>
    <t>Interest Rate Swaps Pay Fix Receive Floating -NOMURA (15/06/2026) (FV 20000 Lacs)</t>
  </si>
  <si>
    <t>IRS2369870</t>
  </si>
  <si>
    <t>Interest Rate Swaps Pay Fix Receive Floating -IDFC BANK (12/06/2026) (FV 12500 Lacs)</t>
  </si>
  <si>
    <t>IRS2369859</t>
  </si>
  <si>
    <t>Interest Rate Swaps Pay Fix Receive Floating -BARC (12/09/2026) (FV 15000 Lacs)</t>
  </si>
  <si>
    <t>IRS2192511</t>
  </si>
  <si>
    <t>Interest Rate Swaps Pay Fix Receive Floating -ICISECPD (12/03/2026) (FV 25000 Lacs)</t>
  </si>
  <si>
    <t>IRS1768707</t>
  </si>
  <si>
    <t>Interest Rate Swaps Pay Fix Receive Floating -NOMURA (23/01/2026) (FV 7500 Lacs)</t>
  </si>
  <si>
    <t>IRS1779402</t>
  </si>
  <si>
    <t>Interest Rate Swaps Pay Fix Receive Floating -HSBC BANK (30/01/2026) (FV 7500 Lacs)</t>
  </si>
  <si>
    <t>TATP39</t>
  </si>
  <si>
    <t>8.43% Tata Projects Limited (06/02/2026)</t>
  </si>
  <si>
    <t>INE725H08154</t>
  </si>
  <si>
    <t>GOI6058</t>
  </si>
  <si>
    <t>7.29% Bihar State Development Loans (28/12/2026)</t>
  </si>
  <si>
    <t>IN1320160139</t>
  </si>
  <si>
    <t>NAHR21</t>
  </si>
  <si>
    <t>8.25% Narayana Hrudayalaya Limited (19/03/2029) **</t>
  </si>
  <si>
    <t>INE410P08016</t>
  </si>
  <si>
    <t>TOPL50</t>
  </si>
  <si>
    <t>7.1% Torrent Power Limited (11/03/2026) **</t>
  </si>
  <si>
    <t>INE813H07184</t>
  </si>
  <si>
    <t>GOI1829</t>
  </si>
  <si>
    <t>7.62% Tamilnadu State Development Loans (29/03/2027)</t>
  </si>
  <si>
    <t>IN3120161424</t>
  </si>
  <si>
    <t>LICH687</t>
  </si>
  <si>
    <t>7.69% LIC Housing Finance Limited (11/12/2026) **</t>
  </si>
  <si>
    <t>INE115A07RA9</t>
  </si>
  <si>
    <t>SHTR490</t>
  </si>
  <si>
    <t>8.75% Shriram Finance Limited (15/06/2026) **</t>
  </si>
  <si>
    <t>INE721A07RH9</t>
  </si>
  <si>
    <t>GOI2940</t>
  </si>
  <si>
    <t>7.14% Gujarat State Development Loans (11/01/2027)</t>
  </si>
  <si>
    <t>IN1520160178</t>
  </si>
  <si>
    <t>MEBP27</t>
  </si>
  <si>
    <t>8.02% Mindspace Business Parks REIT (13/04/2026) **</t>
  </si>
  <si>
    <t>INE0CCU07074</t>
  </si>
  <si>
    <t>MKIP21</t>
  </si>
  <si>
    <t>7.97% Mankind Pharma Limited (16/11/2027) **</t>
  </si>
  <si>
    <t>INE634S07033</t>
  </si>
  <si>
    <t>EKAF34</t>
  </si>
  <si>
    <t>9.25% SK Finance Limited (24/10/2027) **</t>
  </si>
  <si>
    <t>INE124N07762</t>
  </si>
  <si>
    <t>ICRA AA-</t>
  </si>
  <si>
    <t>SHHF34</t>
  </si>
  <si>
    <t>8.94% Truhome Finance Limited (26/12/2025) **</t>
  </si>
  <si>
    <t>INE432R07422</t>
  </si>
  <si>
    <t>SHTR504</t>
  </si>
  <si>
    <t>9.25% Shriram Finance Limited (19/12/2025) **</t>
  </si>
  <si>
    <t>INE721A07RU2</t>
  </si>
  <si>
    <t>MKIP20</t>
  </si>
  <si>
    <t>7.99% Mankind Pharma Limited (16/04/2026) **</t>
  </si>
  <si>
    <t>INE634S07017</t>
  </si>
  <si>
    <t>GOI1643</t>
  </si>
  <si>
    <t>8.38% Rajasthan State Development Loans (27/01/2026)</t>
  </si>
  <si>
    <t>IN2920150231</t>
  </si>
  <si>
    <t>SHTR507</t>
  </si>
  <si>
    <t>9.10% Shriram Finance Limited (18/03/2027) **</t>
  </si>
  <si>
    <t>INE721A07RZ1</t>
  </si>
  <si>
    <t>GOSL410</t>
  </si>
  <si>
    <t>8.36% Godrej Industries Limited (28/08/2026) **</t>
  </si>
  <si>
    <t>INE233A08121</t>
  </si>
  <si>
    <t>EOPR25</t>
  </si>
  <si>
    <t>6.8% Embassy Office Parks REIT (07/09/2026) **</t>
  </si>
  <si>
    <t>INE041007068</t>
  </si>
  <si>
    <t>TOPL49</t>
  </si>
  <si>
    <t>8.32% Torrent Power Limited (28/02/2027) **</t>
  </si>
  <si>
    <t>INE813H07382</t>
  </si>
  <si>
    <t>TATP38</t>
  </si>
  <si>
    <t>8.20% Tata Projects Limited (27/04/2026) **</t>
  </si>
  <si>
    <t>INE725H08121</t>
  </si>
  <si>
    <t>GOI4357</t>
  </si>
  <si>
    <t>7.62% Tamilnadu State Development Loans (09/08/2026)</t>
  </si>
  <si>
    <t>IN3120160087</t>
  </si>
  <si>
    <t>NIMA376</t>
  </si>
  <si>
    <t>8.4% Nirma Limited (07/04/2026) **</t>
  </si>
  <si>
    <t>INE091A07216</t>
  </si>
  <si>
    <t>GOI1833</t>
  </si>
  <si>
    <t>7.64% Uttar Pradesh State Development Loans (29/03/2027)</t>
  </si>
  <si>
    <t>IN3320160358</t>
  </si>
  <si>
    <t>GOI4536</t>
  </si>
  <si>
    <t>7.63% Andhra Pradesh State Development Loans (09/08/2026)</t>
  </si>
  <si>
    <t>IN1020160066</t>
  </si>
  <si>
    <t>SUHF270</t>
  </si>
  <si>
    <t>7.27% Sundaram Home Finance Limited (24/05/2027) **</t>
  </si>
  <si>
    <t>INE667F07JA5</t>
  </si>
  <si>
    <t>LIGS25</t>
  </si>
  <si>
    <t>Liquid Gold Series (20/10/2027) **</t>
  </si>
  <si>
    <t>INE29DX15014</t>
  </si>
  <si>
    <t>NBAR842</t>
  </si>
  <si>
    <t>National Bank For Agriculture and Rural Development (24/03/2026) **</t>
  </si>
  <si>
    <t>INE261F16991</t>
  </si>
  <si>
    <t>IIBL997</t>
  </si>
  <si>
    <t>IndusInd Bank Limited (12/03/2026) **</t>
  </si>
  <si>
    <t>INE095A167B3</t>
  </si>
  <si>
    <t>PUBA1112</t>
  </si>
  <si>
    <t>Punjab National Bank (20/03/2026) **</t>
  </si>
  <si>
    <t>INE160A16RM1</t>
  </si>
  <si>
    <t>SIDB600</t>
  </si>
  <si>
    <t>Small Industries Dev Bank of India (25/03/2026) **</t>
  </si>
  <si>
    <t>INE556F16BF7</t>
  </si>
  <si>
    <t>UNBI445</t>
  </si>
  <si>
    <t>Union Bank of India (27/02/2026) **</t>
  </si>
  <si>
    <t>INE692A16IX9</t>
  </si>
  <si>
    <t>GHFL48</t>
  </si>
  <si>
    <t>Godrej Housing Finance Limited (13/02/2026) **</t>
  </si>
  <si>
    <t>INE02JD14591</t>
  </si>
  <si>
    <t>MFPL227</t>
  </si>
  <si>
    <t>Infina Finance Private Limited (22/05/2026) **</t>
  </si>
  <si>
    <t>INE879F14KU8</t>
  </si>
  <si>
    <t>HIFS66</t>
  </si>
  <si>
    <t>HSBC InvestDirect Financial Services (India) Limited (08/05/2026) **</t>
  </si>
  <si>
    <t>INE790I14GR5</t>
  </si>
  <si>
    <t>TBIL2523</t>
  </si>
  <si>
    <t>182 Days Tbill (MD 25/12/2025)</t>
  </si>
  <si>
    <t>IN002025Y131</t>
  </si>
  <si>
    <t>Benchmark Name - NIFTY ULTRA SHORT DURATION DEBT INDEX A-I</t>
  </si>
  <si>
    <t>7.27%#</t>
  </si>
  <si>
    <t>ICICI Prudential Equity Arbitrage Fund-Direct Plan-Growth Op</t>
  </si>
  <si>
    <t>Kwality Walls (India)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</si>
</sst>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0.0000%"/>
  </numFmts>
  <fonts count="9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6" borderId="0" xfId="0" applyFill="1" applyAlignment="1" applyProtection="1">
      <alignment wrapText="1"/>
      <protection locked="0"/>
    </xf>
    <xf numFmtId="0" fontId="3" fillId="7" borderId="3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left" vertical="top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0" fontId="1" fillId="31" borderId="9" xfId="0" applyFont="1" applyFill="1" applyBorder="1" applyAlignment="1">
      <alignment horizontal="right" vertical="top" wrapText="1"/>
    </xf>
    <xf numFmtId="164" fontId="3" fillId="32" borderId="1" xfId="0" applyNumberFormat="1" applyFont="1" applyFill="1" applyBorder="1" applyAlignment="1">
      <alignment horizontal="right" vertical="top" wrapText="1"/>
    </xf>
    <xf numFmtId="0" fontId="3" fillId="33" borderId="15" xfId="0" applyFont="1" applyFill="1" applyBorder="1" applyAlignment="1">
      <alignment horizontal="left" vertical="top" wrapText="1"/>
    </xf>
    <xf numFmtId="0" fontId="1" fillId="34" borderId="16" xfId="0" applyFont="1" applyFill="1" applyBorder="1" applyAlignment="1">
      <alignment horizontal="left" vertical="top" wrapText="1"/>
    </xf>
    <xf numFmtId="164" fontId="3" fillId="35" borderId="17" xfId="0" applyNumberFormat="1" applyFont="1" applyFill="1" applyBorder="1" applyAlignment="1">
      <alignment horizontal="right" vertical="top" wrapText="1"/>
    </xf>
    <xf numFmtId="166" fontId="3" fillId="36" borderId="17" xfId="0" applyNumberFormat="1" applyFont="1" applyFill="1" applyBorder="1" applyAlignment="1">
      <alignment horizontal="right" vertical="top" wrapText="1"/>
    </xf>
    <xf numFmtId="0" fontId="3" fillId="37" borderId="18" xfId="0" applyFont="1" applyFill="1" applyBorder="1" applyAlignment="1">
      <alignment horizontal="right" vertical="top" wrapText="1"/>
    </xf>
    <xf numFmtId="0" fontId="3" fillId="38" borderId="19" xfId="0" applyFont="1" applyFill="1" applyBorder="1" applyAlignment="1">
      <alignment horizontal="right" vertical="top" wrapText="1"/>
    </xf>
    <xf numFmtId="0" fontId="7" fillId="39" borderId="3" xfId="0" applyFont="1" applyFill="1" applyBorder="1" applyAlignment="1">
      <alignment horizontal="left" vertical="top" wrapText="1"/>
    </xf>
    <xf numFmtId="0" fontId="0" fillId="40" borderId="3" xfId="0" applyFill="1" applyBorder="1" applyAlignment="1" applyProtection="1">
      <alignment wrapText="1"/>
      <protection locked="0"/>
    </xf>
    <xf numFmtId="0" fontId="1" fillId="41" borderId="8" xfId="0" applyFont="1" applyFill="1" applyBorder="1" applyAlignment="1">
      <alignment horizontal="right" vertical="top" wrapText="1"/>
    </xf>
    <xf numFmtId="166" fontId="1" fillId="42" borderId="10" xfId="0" applyNumberFormat="1" applyFont="1" applyFill="1" applyBorder="1" applyAlignment="1">
      <alignment horizontal="right" vertical="top" wrapText="1"/>
    </xf>
    <xf numFmtId="0" fontId="3" fillId="43" borderId="20" xfId="0" applyFont="1" applyFill="1" applyBorder="1" applyAlignment="1">
      <alignment horizontal="right" vertical="top" wrapText="1"/>
    </xf>
    <xf numFmtId="0" fontId="3" fillId="44" borderId="21" xfId="0" applyFont="1" applyFill="1" applyBorder="1" applyAlignment="1">
      <alignment horizontal="right" vertical="top" wrapText="1"/>
    </xf>
    <xf numFmtId="0" fontId="3" fillId="45" borderId="22" xfId="0" applyFont="1" applyFill="1" applyBorder="1" applyAlignment="1">
      <alignment horizontal="left" vertical="top" wrapText="1"/>
    </xf>
    <xf numFmtId="0" fontId="1" fillId="46" borderId="23" xfId="0" applyFont="1" applyFill="1" applyBorder="1" applyAlignment="1">
      <alignment horizontal="left" vertical="top" wrapText="1"/>
    </xf>
    <xf numFmtId="10" fontId="3" fillId="27" borderId="1" xfId="0" applyNumberFormat="1" applyFont="1" applyFill="1" applyBorder="1" applyAlignment="1">
      <alignment horizontal="right" vertical="top" wrapText="1"/>
    </xf>
    <xf numFmtId="9" fontId="0" fillId="6" borderId="0" xfId="1" applyFont="1" applyFill="1" applyBorder="1" applyAlignment="1" applyProtection="1">
      <alignment wrapText="1"/>
      <protection locked="0"/>
    </xf>
    <xf numFmtId="10" fontId="0" fillId="0" borderId="0" xfId="0" applyNumberFormat="1"/>
    <xf numFmtId="167" fontId="0" fillId="0" borderId="0" xfId="0" applyNumberFormat="1"/>
    <xf numFmtId="0" fontId="3" fillId="5" borderId="3" xfId="0" applyFont="1" applyFill="1" applyBorder="1" applyAlignment="1">
      <alignment horizontal="left" vertical="top" wrapText="1"/>
    </xf>
    <xf numFmtId="0" fontId="7" fillId="39" borderId="3" xfId="0" applyFont="1" applyFill="1" applyBorder="1" applyAlignment="1">
      <alignment horizontal="left" vertical="top" wrapText="1"/>
    </xf>
    <xf numFmtId="0" fontId="0" fillId="40" borderId="3" xfId="0" applyFill="1" applyBorder="1" applyAlignment="1" applyProtection="1">
      <alignment wrapText="1"/>
      <protection locked="0"/>
    </xf>
    <xf numFmtId="0" fontId="1" fillId="8" borderId="3" xfId="0" applyFont="1" applyFill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6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6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6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0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740100075" name="Picture">
          <a:extLst>
            <a:ext uri="{FF2B5EF4-FFF2-40B4-BE49-F238E27FC236}">
              <a16:creationId xmlns:a16="http://schemas.microsoft.com/office/drawing/2014/main" id="{00000000-0008-0000-0100-0000EB071D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1929657721" name="Picture">
          <a:extLst>
            <a:ext uri="{FF2B5EF4-FFF2-40B4-BE49-F238E27FC236}">
              <a16:creationId xmlns:a16="http://schemas.microsoft.com/office/drawing/2014/main" id="{00000000-0008-0000-0100-0000793D047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100477274" name="Picture">
          <a:extLst>
            <a:ext uri="{FF2B5EF4-FFF2-40B4-BE49-F238E27FC236}">
              <a16:creationId xmlns:a16="http://schemas.microsoft.com/office/drawing/2014/main" id="{00000000-0008-0000-0200-00005A29FD0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1746128661" name="Picture">
          <a:extLst>
            <a:ext uri="{FF2B5EF4-FFF2-40B4-BE49-F238E27FC236}">
              <a16:creationId xmlns:a16="http://schemas.microsoft.com/office/drawing/2014/main" id="{00000000-0008-0000-0200-000015CF136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1522844500" name="Picture">
          <a:extLst>
            <a:ext uri="{FF2B5EF4-FFF2-40B4-BE49-F238E27FC236}">
              <a16:creationId xmlns:a16="http://schemas.microsoft.com/office/drawing/2014/main" id="{00000000-0008-0000-0400-000054C3C4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1621052323" name="Picture">
          <a:extLst>
            <a:ext uri="{FF2B5EF4-FFF2-40B4-BE49-F238E27FC236}">
              <a16:creationId xmlns:a16="http://schemas.microsoft.com/office/drawing/2014/main" id="{00000000-0008-0000-0400-0000A34B9F6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0</xdr:colOff>
      <xdr:row>208</xdr:row>
      <xdr:rowOff>0</xdr:rowOff>
    </xdr:to>
    <xdr:pic>
      <xdr:nvPicPr>
        <xdr:cNvPr id="595222653" name="Picture">
          <a:extLst>
            <a:ext uri="{FF2B5EF4-FFF2-40B4-BE49-F238E27FC236}">
              <a16:creationId xmlns:a16="http://schemas.microsoft.com/office/drawing/2014/main" id="{00000000-0008-0000-0600-00007D607A2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4</xdr:col>
      <xdr:colOff>0</xdr:colOff>
      <xdr:row>208</xdr:row>
      <xdr:rowOff>0</xdr:rowOff>
    </xdr:to>
    <xdr:pic>
      <xdr:nvPicPr>
        <xdr:cNvPr id="333250112" name="Picture">
          <a:extLst>
            <a:ext uri="{FF2B5EF4-FFF2-40B4-BE49-F238E27FC236}">
              <a16:creationId xmlns:a16="http://schemas.microsoft.com/office/drawing/2014/main" id="{00000000-0008-0000-0600-000040FEDC1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1780323042" name="Picture">
          <a:extLst>
            <a:ext uri="{FF2B5EF4-FFF2-40B4-BE49-F238E27FC236}">
              <a16:creationId xmlns:a16="http://schemas.microsoft.com/office/drawing/2014/main" id="{00000000-0008-0000-0900-0000E2921D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4</xdr:col>
      <xdr:colOff>0</xdr:colOff>
      <xdr:row>29</xdr:row>
      <xdr:rowOff>0</xdr:rowOff>
    </xdr:to>
    <xdr:pic>
      <xdr:nvPicPr>
        <xdr:cNvPr id="681549142" name="Picture">
          <a:extLst>
            <a:ext uri="{FF2B5EF4-FFF2-40B4-BE49-F238E27FC236}">
              <a16:creationId xmlns:a16="http://schemas.microsoft.com/office/drawing/2014/main" id="{00000000-0008-0000-0900-0000569D9F2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1432977845" name="Picture">
          <a:extLst>
            <a:ext uri="{FF2B5EF4-FFF2-40B4-BE49-F238E27FC236}">
              <a16:creationId xmlns:a16="http://schemas.microsoft.com/office/drawing/2014/main" id="{00000000-0008-0000-0A00-0000B581695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4</xdr:col>
      <xdr:colOff>0</xdr:colOff>
      <xdr:row>47</xdr:row>
      <xdr:rowOff>0</xdr:rowOff>
    </xdr:to>
    <xdr:pic>
      <xdr:nvPicPr>
        <xdr:cNvPr id="174022618" name="Picture">
          <a:extLst>
            <a:ext uri="{FF2B5EF4-FFF2-40B4-BE49-F238E27FC236}">
              <a16:creationId xmlns:a16="http://schemas.microsoft.com/office/drawing/2014/main" id="{00000000-0008-0000-0A00-0000DA5F5F0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1091525010" name="Picture">
          <a:extLst>
            <a:ext uri="{FF2B5EF4-FFF2-40B4-BE49-F238E27FC236}">
              <a16:creationId xmlns:a16="http://schemas.microsoft.com/office/drawing/2014/main" id="{00000000-0008-0000-0C00-000092590F4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836665318" name="Picture">
          <a:extLst>
            <a:ext uri="{FF2B5EF4-FFF2-40B4-BE49-F238E27FC236}">
              <a16:creationId xmlns:a16="http://schemas.microsoft.com/office/drawing/2014/main" id="{00000000-0008-0000-0C00-0000E67FDE3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1315184896" name="Picture">
          <a:extLst>
            <a:ext uri="{FF2B5EF4-FFF2-40B4-BE49-F238E27FC236}">
              <a16:creationId xmlns:a16="http://schemas.microsoft.com/office/drawing/2014/main" id="{00000000-0008-0000-0E00-0000002164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4</xdr:col>
      <xdr:colOff>0</xdr:colOff>
      <xdr:row>33</xdr:row>
      <xdr:rowOff>0</xdr:rowOff>
    </xdr:to>
    <xdr:pic>
      <xdr:nvPicPr>
        <xdr:cNvPr id="675095127" name="Picture">
          <a:extLst>
            <a:ext uri="{FF2B5EF4-FFF2-40B4-BE49-F238E27FC236}">
              <a16:creationId xmlns:a16="http://schemas.microsoft.com/office/drawing/2014/main" id="{00000000-0008-0000-0E00-000057223D2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394249180" name="Picture">
          <a:extLst>
            <a:ext uri="{FF2B5EF4-FFF2-40B4-BE49-F238E27FC236}">
              <a16:creationId xmlns:a16="http://schemas.microsoft.com/office/drawing/2014/main" id="{00000000-0008-0000-0F00-0000DCC37F1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4</xdr:col>
      <xdr:colOff>0</xdr:colOff>
      <xdr:row>33</xdr:row>
      <xdr:rowOff>0</xdr:rowOff>
    </xdr:to>
    <xdr:pic>
      <xdr:nvPicPr>
        <xdr:cNvPr id="1512757978" name="Picture">
          <a:extLst>
            <a:ext uri="{FF2B5EF4-FFF2-40B4-BE49-F238E27FC236}">
              <a16:creationId xmlns:a16="http://schemas.microsoft.com/office/drawing/2014/main" id="{00000000-0008-0000-0F00-0000DADA2A5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0</xdr:colOff>
      <xdr:row>180</xdr:row>
      <xdr:rowOff>0</xdr:rowOff>
    </xdr:to>
    <xdr:pic>
      <xdr:nvPicPr>
        <xdr:cNvPr id="900304062" name="Picture">
          <a:extLst>
            <a:ext uri="{FF2B5EF4-FFF2-40B4-BE49-F238E27FC236}">
              <a16:creationId xmlns:a16="http://schemas.microsoft.com/office/drawing/2014/main" id="{00000000-0008-0000-1000-0000BE8CA93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4</xdr:col>
      <xdr:colOff>0</xdr:colOff>
      <xdr:row>180</xdr:row>
      <xdr:rowOff>0</xdr:rowOff>
    </xdr:to>
    <xdr:pic>
      <xdr:nvPicPr>
        <xdr:cNvPr id="1950826438" name="Picture">
          <a:extLst>
            <a:ext uri="{FF2B5EF4-FFF2-40B4-BE49-F238E27FC236}">
              <a16:creationId xmlns:a16="http://schemas.microsoft.com/office/drawing/2014/main" id="{00000000-0008-0000-1000-0000C63F477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1745499181" name="Picture">
          <a:extLst>
            <a:ext uri="{FF2B5EF4-FFF2-40B4-BE49-F238E27FC236}">
              <a16:creationId xmlns:a16="http://schemas.microsoft.com/office/drawing/2014/main" id="{00000000-0008-0000-1200-00002D340A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4</xdr:col>
      <xdr:colOff>0</xdr:colOff>
      <xdr:row>51</xdr:row>
      <xdr:rowOff>0</xdr:rowOff>
    </xdr:to>
    <xdr:pic>
      <xdr:nvPicPr>
        <xdr:cNvPr id="629055461" name="Picture">
          <a:extLst>
            <a:ext uri="{FF2B5EF4-FFF2-40B4-BE49-F238E27FC236}">
              <a16:creationId xmlns:a16="http://schemas.microsoft.com/office/drawing/2014/main" id="{00000000-0008-0000-1200-0000E59F7E2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0</xdr:colOff>
      <xdr:row>89</xdr:row>
      <xdr:rowOff>0</xdr:rowOff>
    </xdr:to>
    <xdr:pic>
      <xdr:nvPicPr>
        <xdr:cNvPr id="1137353232" name="Picture">
          <a:extLst>
            <a:ext uri="{FF2B5EF4-FFF2-40B4-BE49-F238E27FC236}">
              <a16:creationId xmlns:a16="http://schemas.microsoft.com/office/drawing/2014/main" id="{00000000-0008-0000-1300-000010A2CA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4</xdr:col>
      <xdr:colOff>0</xdr:colOff>
      <xdr:row>89</xdr:row>
      <xdr:rowOff>0</xdr:rowOff>
    </xdr:to>
    <xdr:pic>
      <xdr:nvPicPr>
        <xdr:cNvPr id="783218151" name="Picture">
          <a:extLst>
            <a:ext uri="{FF2B5EF4-FFF2-40B4-BE49-F238E27FC236}">
              <a16:creationId xmlns:a16="http://schemas.microsoft.com/office/drawing/2014/main" id="{00000000-0008-0000-1300-0000E7F5AE2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pic>
      <xdr:nvPicPr>
        <xdr:cNvPr id="1073505133" name="Picture">
          <a:extLst>
            <a:ext uri="{FF2B5EF4-FFF2-40B4-BE49-F238E27FC236}">
              <a16:creationId xmlns:a16="http://schemas.microsoft.com/office/drawing/2014/main" id="{00000000-0008-0000-1D00-00006D63FC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4</xdr:col>
      <xdr:colOff>0</xdr:colOff>
      <xdr:row>66</xdr:row>
      <xdr:rowOff>0</xdr:rowOff>
    </xdr:to>
    <xdr:pic>
      <xdr:nvPicPr>
        <xdr:cNvPr id="962881606" name="Picture">
          <a:extLst>
            <a:ext uri="{FF2B5EF4-FFF2-40B4-BE49-F238E27FC236}">
              <a16:creationId xmlns:a16="http://schemas.microsoft.com/office/drawing/2014/main" id="{00000000-0008-0000-1D00-00004668643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364678758" name="Picture">
          <a:extLst>
            <a:ext uri="{FF2B5EF4-FFF2-40B4-BE49-F238E27FC236}">
              <a16:creationId xmlns:a16="http://schemas.microsoft.com/office/drawing/2014/main" id="{00000000-0008-0000-1E00-0000668EBC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4</xdr:col>
      <xdr:colOff>0</xdr:colOff>
      <xdr:row>49</xdr:row>
      <xdr:rowOff>0</xdr:rowOff>
    </xdr:to>
    <xdr:pic>
      <xdr:nvPicPr>
        <xdr:cNvPr id="552268222" name="Picture">
          <a:extLst>
            <a:ext uri="{FF2B5EF4-FFF2-40B4-BE49-F238E27FC236}">
              <a16:creationId xmlns:a16="http://schemas.microsoft.com/office/drawing/2014/main" id="{00000000-0008-0000-1E00-0000BEF1EA2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125176759" name="Picture">
          <a:extLst>
            <a:ext uri="{FF2B5EF4-FFF2-40B4-BE49-F238E27FC236}">
              <a16:creationId xmlns:a16="http://schemas.microsoft.com/office/drawing/2014/main" id="{00000000-0008-0000-2600-0000B70B76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4</xdr:col>
      <xdr:colOff>0</xdr:colOff>
      <xdr:row>25</xdr:row>
      <xdr:rowOff>0</xdr:rowOff>
    </xdr:to>
    <xdr:pic>
      <xdr:nvPicPr>
        <xdr:cNvPr id="49210797" name="Picture">
          <a:extLst>
            <a:ext uri="{FF2B5EF4-FFF2-40B4-BE49-F238E27FC236}">
              <a16:creationId xmlns:a16="http://schemas.microsoft.com/office/drawing/2014/main" id="{00000000-0008-0000-2600-0000ADE5EE0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0</xdr:colOff>
      <xdr:row>122</xdr:row>
      <xdr:rowOff>0</xdr:rowOff>
    </xdr:to>
    <xdr:pic>
      <xdr:nvPicPr>
        <xdr:cNvPr id="378700382" name="Picture">
          <a:extLst>
            <a:ext uri="{FF2B5EF4-FFF2-40B4-BE49-F238E27FC236}">
              <a16:creationId xmlns:a16="http://schemas.microsoft.com/office/drawing/2014/main" id="{00000000-0008-0000-2700-00005E82921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4</xdr:col>
      <xdr:colOff>0</xdr:colOff>
      <xdr:row>122</xdr:row>
      <xdr:rowOff>0</xdr:rowOff>
    </xdr:to>
    <xdr:pic>
      <xdr:nvPicPr>
        <xdr:cNvPr id="961593533" name="Picture">
          <a:extLst>
            <a:ext uri="{FF2B5EF4-FFF2-40B4-BE49-F238E27FC236}">
              <a16:creationId xmlns:a16="http://schemas.microsoft.com/office/drawing/2014/main" id="{00000000-0008-0000-2700-0000BDC0503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0</xdr:colOff>
      <xdr:row>82</xdr:row>
      <xdr:rowOff>0</xdr:rowOff>
    </xdr:to>
    <xdr:pic>
      <xdr:nvPicPr>
        <xdr:cNvPr id="2037968185" name="Picture">
          <a:extLst>
            <a:ext uri="{FF2B5EF4-FFF2-40B4-BE49-F238E27FC236}">
              <a16:creationId xmlns:a16="http://schemas.microsoft.com/office/drawing/2014/main" id="{00000000-0008-0000-2900-000039ED78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4</xdr:col>
      <xdr:colOff>0</xdr:colOff>
      <xdr:row>82</xdr:row>
      <xdr:rowOff>0</xdr:rowOff>
    </xdr:to>
    <xdr:pic>
      <xdr:nvPicPr>
        <xdr:cNvPr id="1060333657" name="Picture">
          <a:extLst>
            <a:ext uri="{FF2B5EF4-FFF2-40B4-BE49-F238E27FC236}">
              <a16:creationId xmlns:a16="http://schemas.microsoft.com/office/drawing/2014/main" id="{00000000-0008-0000-2900-00005968333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0</xdr:colOff>
      <xdr:row>96</xdr:row>
      <xdr:rowOff>0</xdr:rowOff>
    </xdr:to>
    <xdr:pic>
      <xdr:nvPicPr>
        <xdr:cNvPr id="1829734059" name="Picture">
          <a:extLst>
            <a:ext uri="{FF2B5EF4-FFF2-40B4-BE49-F238E27FC236}">
              <a16:creationId xmlns:a16="http://schemas.microsoft.com/office/drawing/2014/main" id="{00000000-0008-0000-2A00-0000AB860F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4</xdr:col>
      <xdr:colOff>0</xdr:colOff>
      <xdr:row>96</xdr:row>
      <xdr:rowOff>0</xdr:rowOff>
    </xdr:to>
    <xdr:pic>
      <xdr:nvPicPr>
        <xdr:cNvPr id="815533527" name="Picture">
          <a:extLst>
            <a:ext uri="{FF2B5EF4-FFF2-40B4-BE49-F238E27FC236}">
              <a16:creationId xmlns:a16="http://schemas.microsoft.com/office/drawing/2014/main" id="{00000000-0008-0000-2A00-0000D70D9C3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1400899806" name="Picture">
          <a:extLst>
            <a:ext uri="{FF2B5EF4-FFF2-40B4-BE49-F238E27FC236}">
              <a16:creationId xmlns:a16="http://schemas.microsoft.com/office/drawing/2014/main" id="{00000000-0008-0000-2B00-0000DE0880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2010501975" name="Picture">
          <a:extLst>
            <a:ext uri="{FF2B5EF4-FFF2-40B4-BE49-F238E27FC236}">
              <a16:creationId xmlns:a16="http://schemas.microsoft.com/office/drawing/2014/main" id="{00000000-0008-0000-2B00-000057D3D57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0</xdr:colOff>
      <xdr:row>160</xdr:row>
      <xdr:rowOff>0</xdr:rowOff>
    </xdr:to>
    <xdr:pic>
      <xdr:nvPicPr>
        <xdr:cNvPr id="1719548376" name="Picture">
          <a:extLst>
            <a:ext uri="{FF2B5EF4-FFF2-40B4-BE49-F238E27FC236}">
              <a16:creationId xmlns:a16="http://schemas.microsoft.com/office/drawing/2014/main" id="{00000000-0008-0000-2C00-0000D8397E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4</xdr:col>
      <xdr:colOff>0</xdr:colOff>
      <xdr:row>160</xdr:row>
      <xdr:rowOff>0</xdr:rowOff>
    </xdr:to>
    <xdr:pic>
      <xdr:nvPicPr>
        <xdr:cNvPr id="912024181" name="Picture">
          <a:extLst>
            <a:ext uri="{FF2B5EF4-FFF2-40B4-BE49-F238E27FC236}">
              <a16:creationId xmlns:a16="http://schemas.microsoft.com/office/drawing/2014/main" id="{00000000-0008-0000-2C00-000075625C3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1707694744" name="Picture">
          <a:extLst>
            <a:ext uri="{FF2B5EF4-FFF2-40B4-BE49-F238E27FC236}">
              <a16:creationId xmlns:a16="http://schemas.microsoft.com/office/drawing/2014/main" id="{00000000-0008-0000-2D00-0000985AC9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1012888093" name="Picture">
          <a:extLst>
            <a:ext uri="{FF2B5EF4-FFF2-40B4-BE49-F238E27FC236}">
              <a16:creationId xmlns:a16="http://schemas.microsoft.com/office/drawing/2014/main" id="{00000000-0008-0000-2D00-00001D725F3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2</xdr:col>
      <xdr:colOff>0</xdr:colOff>
      <xdr:row>170</xdr:row>
      <xdr:rowOff>0</xdr:rowOff>
    </xdr:to>
    <xdr:pic>
      <xdr:nvPicPr>
        <xdr:cNvPr id="362453054" name="Picture">
          <a:extLst>
            <a:ext uri="{FF2B5EF4-FFF2-40B4-BE49-F238E27FC236}">
              <a16:creationId xmlns:a16="http://schemas.microsoft.com/office/drawing/2014/main" id="{00000000-0008-0000-3300-00003E989A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4</xdr:col>
      <xdr:colOff>0</xdr:colOff>
      <xdr:row>170</xdr:row>
      <xdr:rowOff>0</xdr:rowOff>
    </xdr:to>
    <xdr:pic>
      <xdr:nvPicPr>
        <xdr:cNvPr id="758592941" name="Picture">
          <a:extLst>
            <a:ext uri="{FF2B5EF4-FFF2-40B4-BE49-F238E27FC236}">
              <a16:creationId xmlns:a16="http://schemas.microsoft.com/office/drawing/2014/main" id="{00000000-0008-0000-3300-0000AD35372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1829596468" name="Picture">
          <a:extLst>
            <a:ext uri="{FF2B5EF4-FFF2-40B4-BE49-F238E27FC236}">
              <a16:creationId xmlns:a16="http://schemas.microsoft.com/office/drawing/2014/main" id="{00000000-0008-0000-3900-0000346D0D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1218610590" name="Picture">
          <a:extLst>
            <a:ext uri="{FF2B5EF4-FFF2-40B4-BE49-F238E27FC236}">
              <a16:creationId xmlns:a16="http://schemas.microsoft.com/office/drawing/2014/main" id="{00000000-0008-0000-3900-00009E85A24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1050072450" name="Picture">
          <a:extLst>
            <a:ext uri="{FF2B5EF4-FFF2-40B4-BE49-F238E27FC236}">
              <a16:creationId xmlns:a16="http://schemas.microsoft.com/office/drawing/2014/main" id="{00000000-0008-0000-4000-000082D596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1717538259" name="Picture">
          <a:extLst>
            <a:ext uri="{FF2B5EF4-FFF2-40B4-BE49-F238E27FC236}">
              <a16:creationId xmlns:a16="http://schemas.microsoft.com/office/drawing/2014/main" id="{00000000-0008-0000-4000-0000D38D5F6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1090753892" name="Picture">
          <a:extLst>
            <a:ext uri="{FF2B5EF4-FFF2-40B4-BE49-F238E27FC236}">
              <a16:creationId xmlns:a16="http://schemas.microsoft.com/office/drawing/2014/main" id="{00000000-0008-0000-4400-00006495034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4</xdr:col>
      <xdr:colOff>0</xdr:colOff>
      <xdr:row>68</xdr:row>
      <xdr:rowOff>0</xdr:rowOff>
    </xdr:to>
    <xdr:pic>
      <xdr:nvPicPr>
        <xdr:cNvPr id="1852746466" name="Picture">
          <a:extLst>
            <a:ext uri="{FF2B5EF4-FFF2-40B4-BE49-F238E27FC236}">
              <a16:creationId xmlns:a16="http://schemas.microsoft.com/office/drawing/2014/main" id="{00000000-0008-0000-4400-0000E2AA6E6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1323382711" name="Picture">
          <a:extLst>
            <a:ext uri="{FF2B5EF4-FFF2-40B4-BE49-F238E27FC236}">
              <a16:creationId xmlns:a16="http://schemas.microsoft.com/office/drawing/2014/main" id="{00000000-0008-0000-4700-0000B737E1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2100108661" name="Picture">
          <a:extLst>
            <a:ext uri="{FF2B5EF4-FFF2-40B4-BE49-F238E27FC236}">
              <a16:creationId xmlns:a16="http://schemas.microsoft.com/office/drawing/2014/main" id="{00000000-0008-0000-4700-0000751D2D7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1005994414" name="Picture">
          <a:extLst>
            <a:ext uri="{FF2B5EF4-FFF2-40B4-BE49-F238E27FC236}">
              <a16:creationId xmlns:a16="http://schemas.microsoft.com/office/drawing/2014/main" id="{00000000-0008-0000-4800-0000AE41F6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1925064404" name="Picture">
          <a:extLst>
            <a:ext uri="{FF2B5EF4-FFF2-40B4-BE49-F238E27FC236}">
              <a16:creationId xmlns:a16="http://schemas.microsoft.com/office/drawing/2014/main" id="{00000000-0008-0000-4800-0000D426BE7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891677627" name="Picture">
          <a:extLst>
            <a:ext uri="{FF2B5EF4-FFF2-40B4-BE49-F238E27FC236}">
              <a16:creationId xmlns:a16="http://schemas.microsoft.com/office/drawing/2014/main" id="{00000000-0008-0000-4900-0000BBEB253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4</xdr:col>
      <xdr:colOff>0</xdr:colOff>
      <xdr:row>54</xdr:row>
      <xdr:rowOff>0</xdr:rowOff>
    </xdr:to>
    <xdr:pic>
      <xdr:nvPicPr>
        <xdr:cNvPr id="544644831" name="Picture">
          <a:extLst>
            <a:ext uri="{FF2B5EF4-FFF2-40B4-BE49-F238E27FC236}">
              <a16:creationId xmlns:a16="http://schemas.microsoft.com/office/drawing/2014/main" id="{00000000-0008-0000-4900-0000DF9E762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261</xdr:row>
      <xdr:rowOff>0</xdr:rowOff>
    </xdr:from>
    <xdr:to>
      <xdr:col>2</xdr:col>
      <xdr:colOff>0</xdr:colOff>
      <xdr:row>262</xdr:row>
      <xdr:rowOff>0</xdr:rowOff>
    </xdr:to>
    <xdr:pic>
      <xdr:nvPicPr>
        <xdr:cNvPr id="928866498" name="Picture">
          <a:extLst>
            <a:ext uri="{FF2B5EF4-FFF2-40B4-BE49-F238E27FC236}">
              <a16:creationId xmlns:a16="http://schemas.microsoft.com/office/drawing/2014/main" id="{00000000-0008-0000-4E00-0000C2605D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261</xdr:row>
      <xdr:rowOff>0</xdr:rowOff>
    </xdr:from>
    <xdr:to>
      <xdr:col>4</xdr:col>
      <xdr:colOff>0</xdr:colOff>
      <xdr:row>262</xdr:row>
      <xdr:rowOff>0</xdr:rowOff>
    </xdr:to>
    <xdr:pic>
      <xdr:nvPicPr>
        <xdr:cNvPr id="550517246" name="Picture">
          <a:extLst>
            <a:ext uri="{FF2B5EF4-FFF2-40B4-BE49-F238E27FC236}">
              <a16:creationId xmlns:a16="http://schemas.microsoft.com/office/drawing/2014/main" id="{00000000-0008-0000-4E00-0000FE39D02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0</xdr:colOff>
      <xdr:row>183</xdr:row>
      <xdr:rowOff>0</xdr:rowOff>
    </xdr:to>
    <xdr:pic>
      <xdr:nvPicPr>
        <xdr:cNvPr id="1924973096" name="Picture">
          <a:extLst>
            <a:ext uri="{FF2B5EF4-FFF2-40B4-BE49-F238E27FC236}">
              <a16:creationId xmlns:a16="http://schemas.microsoft.com/office/drawing/2014/main" id="{00000000-0008-0000-4F00-000028C2BC7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4</xdr:col>
      <xdr:colOff>0</xdr:colOff>
      <xdr:row>183</xdr:row>
      <xdr:rowOff>0</xdr:rowOff>
    </xdr:to>
    <xdr:pic>
      <xdr:nvPicPr>
        <xdr:cNvPr id="593164214" name="Picture">
          <a:extLst>
            <a:ext uri="{FF2B5EF4-FFF2-40B4-BE49-F238E27FC236}">
              <a16:creationId xmlns:a16="http://schemas.microsoft.com/office/drawing/2014/main" id="{00000000-0008-0000-4F00-0000B6F75A2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1247426005" name="Picture">
          <a:extLst>
            <a:ext uri="{FF2B5EF4-FFF2-40B4-BE49-F238E27FC236}">
              <a16:creationId xmlns:a16="http://schemas.microsoft.com/office/drawing/2014/main" id="{00000000-0008-0000-5100-0000D5355A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1053400175" name="Picture">
          <a:extLst>
            <a:ext uri="{FF2B5EF4-FFF2-40B4-BE49-F238E27FC236}">
              <a16:creationId xmlns:a16="http://schemas.microsoft.com/office/drawing/2014/main" id="{00000000-0008-0000-5100-00006F9CC93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0</xdr:colOff>
      <xdr:row>146</xdr:row>
      <xdr:rowOff>0</xdr:rowOff>
    </xdr:to>
    <xdr:pic>
      <xdr:nvPicPr>
        <xdr:cNvPr id="506094346" name="Picture">
          <a:extLst>
            <a:ext uri="{FF2B5EF4-FFF2-40B4-BE49-F238E27FC236}">
              <a16:creationId xmlns:a16="http://schemas.microsoft.com/office/drawing/2014/main" id="{00000000-0008-0000-5400-00000A632A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4</xdr:col>
      <xdr:colOff>0</xdr:colOff>
      <xdr:row>146</xdr:row>
      <xdr:rowOff>0</xdr:rowOff>
    </xdr:to>
    <xdr:pic>
      <xdr:nvPicPr>
        <xdr:cNvPr id="31861867" name="Picture">
          <a:extLst>
            <a:ext uri="{FF2B5EF4-FFF2-40B4-BE49-F238E27FC236}">
              <a16:creationId xmlns:a16="http://schemas.microsoft.com/office/drawing/2014/main" id="{00000000-0008-0000-5400-00006B2CE60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3"/>
  <sheetViews>
    <sheetView workbookViewId="0">
      <selection activeCell="A5" sqref="A5"/>
    </sheetView>
  </sheetViews>
  <sheetFormatPr defaultRowHeight="14.4"/>
  <cols>
    <col min="1" max="1" width="7" customWidth="1"/>
    <col min="2" max="2" width="16.5546875" customWidth="1"/>
    <col min="3" max="3" width="41.5546875" customWidth="1"/>
    <col min="4" max="4" width="16.44140625" customWidth="1"/>
  </cols>
  <sheetData>
    <row r="1" spans="1:4" ht="12.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.9" customHeight="1">
      <c r="A2" s="2">
        <v>1</v>
      </c>
      <c r="B2" s="2" t="s">
        <v>4</v>
      </c>
      <c r="C2" s="2" t="s">
        <v>5</v>
      </c>
      <c r="D2" s="2"/>
    </row>
    <row r="3" spans="1:4" ht="12.9" customHeight="1">
      <c r="A3" s="2">
        <v>2</v>
      </c>
      <c r="B3" s="2" t="s">
        <v>6</v>
      </c>
      <c r="C3" s="2" t="s">
        <v>7</v>
      </c>
      <c r="D3" s="2"/>
    </row>
    <row r="4" spans="1:4" ht="12.9" customHeight="1">
      <c r="A4" s="2">
        <v>3</v>
      </c>
      <c r="B4" s="2" t="s">
        <v>8</v>
      </c>
      <c r="C4" s="2" t="s">
        <v>9</v>
      </c>
      <c r="D4" s="2"/>
    </row>
    <row r="5" spans="1:4" ht="12.9" customHeight="1">
      <c r="A5" s="2">
        <v>4</v>
      </c>
      <c r="B5" s="2" t="s">
        <v>10</v>
      </c>
      <c r="C5" s="2" t="s">
        <v>11</v>
      </c>
      <c r="D5" s="2"/>
    </row>
    <row r="6" spans="1:4" ht="12.9" customHeight="1">
      <c r="A6" s="2">
        <v>5</v>
      </c>
      <c r="B6" s="2" t="s">
        <v>13</v>
      </c>
      <c r="C6" s="2" t="s">
        <v>14</v>
      </c>
      <c r="D6" s="2"/>
    </row>
    <row r="7" spans="1:4" ht="12.9" customHeight="1">
      <c r="A7" s="2">
        <v>6</v>
      </c>
      <c r="B7" s="2" t="s">
        <v>15</v>
      </c>
      <c r="C7" s="2" t="s">
        <v>16</v>
      </c>
      <c r="D7" s="2"/>
    </row>
    <row r="8" spans="1:4" ht="12.9" customHeight="1">
      <c r="A8" s="2">
        <v>7</v>
      </c>
      <c r="B8" s="2" t="s">
        <v>17</v>
      </c>
      <c r="C8" s="2" t="s">
        <v>18</v>
      </c>
      <c r="D8" s="2"/>
    </row>
    <row r="9" spans="1:4" ht="12.9" customHeight="1">
      <c r="A9" s="2">
        <v>8</v>
      </c>
      <c r="B9" s="2" t="s">
        <v>19</v>
      </c>
      <c r="C9" s="2" t="s">
        <v>20</v>
      </c>
      <c r="D9" s="2"/>
    </row>
    <row r="10" spans="1:4" ht="12.9" customHeight="1">
      <c r="A10" s="2">
        <v>9</v>
      </c>
      <c r="B10" s="2" t="s">
        <v>21</v>
      </c>
      <c r="C10" s="2" t="s">
        <v>22</v>
      </c>
      <c r="D10" s="2"/>
    </row>
    <row r="11" spans="1:4" ht="12.9" customHeight="1">
      <c r="A11" s="2">
        <v>10</v>
      </c>
      <c r="B11" s="2" t="s">
        <v>23</v>
      </c>
      <c r="C11" s="2" t="s">
        <v>24</v>
      </c>
      <c r="D11" s="2"/>
    </row>
    <row r="12" spans="1:4" ht="12.9" customHeight="1">
      <c r="A12" s="2">
        <v>11</v>
      </c>
      <c r="B12" s="2" t="s">
        <v>25</v>
      </c>
      <c r="C12" s="2" t="s">
        <v>26</v>
      </c>
      <c r="D12" s="2"/>
    </row>
    <row r="13" spans="1:4" ht="12.9" customHeight="1">
      <c r="A13" s="2">
        <v>12</v>
      </c>
      <c r="B13" s="2" t="s">
        <v>27</v>
      </c>
      <c r="C13" s="2" t="s">
        <v>28</v>
      </c>
      <c r="D13" s="2"/>
    </row>
    <row r="14" spans="1:4" ht="12.9" customHeight="1">
      <c r="A14" s="2">
        <v>13</v>
      </c>
      <c r="B14" s="2" t="s">
        <v>29</v>
      </c>
      <c r="C14" s="2" t="s">
        <v>30</v>
      </c>
      <c r="D14" s="2"/>
    </row>
    <row r="15" spans="1:4" ht="12.9" customHeight="1">
      <c r="A15" s="2">
        <v>14</v>
      </c>
      <c r="B15" s="2" t="s">
        <v>31</v>
      </c>
      <c r="C15" s="2" t="s">
        <v>32</v>
      </c>
      <c r="D15" s="2"/>
    </row>
    <row r="16" spans="1:4" ht="12.9" customHeight="1">
      <c r="A16" s="2">
        <v>15</v>
      </c>
      <c r="B16" s="2" t="s">
        <v>33</v>
      </c>
      <c r="C16" s="2" t="s">
        <v>34</v>
      </c>
      <c r="D16" s="2"/>
    </row>
    <row r="17" spans="1:4" ht="12.9" customHeight="1">
      <c r="A17" s="2">
        <v>16</v>
      </c>
      <c r="B17" s="2" t="s">
        <v>35</v>
      </c>
      <c r="C17" s="2" t="s">
        <v>36</v>
      </c>
      <c r="D17" s="2"/>
    </row>
    <row r="18" spans="1:4" ht="12.9" customHeight="1">
      <c r="A18" s="2">
        <v>17</v>
      </c>
      <c r="B18" s="2" t="s">
        <v>37</v>
      </c>
      <c r="C18" s="2" t="s">
        <v>38</v>
      </c>
      <c r="D18" s="2"/>
    </row>
    <row r="19" spans="1:4" ht="12.9" customHeight="1">
      <c r="A19" s="2">
        <v>18</v>
      </c>
      <c r="B19" s="2" t="s">
        <v>39</v>
      </c>
      <c r="C19" s="2" t="s">
        <v>40</v>
      </c>
      <c r="D19" s="2"/>
    </row>
    <row r="20" spans="1:4" ht="12.9" customHeight="1">
      <c r="A20" s="2">
        <v>19</v>
      </c>
      <c r="B20" s="2" t="s">
        <v>41</v>
      </c>
      <c r="C20" s="2" t="s">
        <v>42</v>
      </c>
      <c r="D20" s="2"/>
    </row>
    <row r="21" spans="1:4" ht="12.9" customHeight="1">
      <c r="A21" s="2">
        <v>20</v>
      </c>
      <c r="B21" s="2" t="s">
        <v>43</v>
      </c>
      <c r="C21" s="2" t="s">
        <v>44</v>
      </c>
      <c r="D21" s="2"/>
    </row>
    <row r="22" spans="1:4" ht="12.9" customHeight="1">
      <c r="A22" s="2">
        <v>21</v>
      </c>
      <c r="B22" s="2" t="s">
        <v>45</v>
      </c>
      <c r="C22" s="2" t="s">
        <v>46</v>
      </c>
      <c r="D22" s="2"/>
    </row>
    <row r="23" spans="1:4" ht="12.9" customHeight="1">
      <c r="A23" s="2">
        <v>22</v>
      </c>
      <c r="B23" s="2" t="s">
        <v>47</v>
      </c>
      <c r="C23" s="2" t="s">
        <v>48</v>
      </c>
      <c r="D23" s="2"/>
    </row>
    <row r="24" spans="1:4" ht="12.9" customHeight="1">
      <c r="A24" s="2">
        <v>23</v>
      </c>
      <c r="B24" s="2" t="s">
        <v>49</v>
      </c>
      <c r="C24" s="2" t="s">
        <v>50</v>
      </c>
      <c r="D24" s="2"/>
    </row>
    <row r="25" spans="1:4" ht="12.9" customHeight="1">
      <c r="A25" s="2">
        <v>24</v>
      </c>
      <c r="B25" s="2" t="s">
        <v>51</v>
      </c>
      <c r="C25" s="2" t="s">
        <v>52</v>
      </c>
      <c r="D25" s="2"/>
    </row>
    <row r="26" spans="1:4" ht="12.9" customHeight="1">
      <c r="A26" s="2">
        <v>25</v>
      </c>
      <c r="B26" s="2" t="s">
        <v>53</v>
      </c>
      <c r="C26" s="2" t="s">
        <v>54</v>
      </c>
      <c r="D26" s="2"/>
    </row>
    <row r="27" spans="1:4" ht="12.9" customHeight="1">
      <c r="A27" s="2">
        <v>26</v>
      </c>
      <c r="B27" s="2" t="s">
        <v>55</v>
      </c>
      <c r="C27" s="2" t="s">
        <v>56</v>
      </c>
      <c r="D27" s="2"/>
    </row>
    <row r="28" spans="1:4" ht="12.9" customHeight="1">
      <c r="A28" s="2">
        <v>27</v>
      </c>
      <c r="B28" s="2" t="s">
        <v>57</v>
      </c>
      <c r="C28" s="2" t="s">
        <v>58</v>
      </c>
      <c r="D28" s="2"/>
    </row>
    <row r="29" spans="1:4" ht="12.9" customHeight="1">
      <c r="A29" s="2">
        <v>28</v>
      </c>
      <c r="B29" s="2" t="s">
        <v>59</v>
      </c>
      <c r="C29" s="2" t="s">
        <v>60</v>
      </c>
      <c r="D29" s="2" t="s">
        <v>12</v>
      </c>
    </row>
    <row r="30" spans="1:4" ht="12.9" customHeight="1">
      <c r="A30" s="2">
        <v>29</v>
      </c>
      <c r="B30" s="2" t="s">
        <v>61</v>
      </c>
      <c r="C30" s="2" t="s">
        <v>62</v>
      </c>
      <c r="D30" s="2"/>
    </row>
    <row r="31" spans="1:4" ht="12.9" customHeight="1">
      <c r="A31" s="2">
        <v>30</v>
      </c>
      <c r="B31" s="2" t="s">
        <v>63</v>
      </c>
      <c r="C31" s="2" t="s">
        <v>64</v>
      </c>
      <c r="D31" s="2"/>
    </row>
    <row r="32" spans="1:4" ht="12.9" customHeight="1">
      <c r="A32" s="2">
        <v>31</v>
      </c>
      <c r="B32" s="2" t="s">
        <v>65</v>
      </c>
      <c r="C32" s="2" t="s">
        <v>66</v>
      </c>
      <c r="D32" s="2"/>
    </row>
    <row r="33" spans="1:4" ht="12.9" customHeight="1">
      <c r="A33" s="2">
        <v>32</v>
      </c>
      <c r="B33" s="2" t="s">
        <v>67</v>
      </c>
      <c r="C33" s="2" t="s">
        <v>68</v>
      </c>
      <c r="D33" s="2"/>
    </row>
  </sheetData>
  <hyperlinks>
    <hyperlink ref="B2" location="JR_PAGE_ANCHOR_0_2" display="AXIS112" xr:uid="{00000000-0004-0000-0000-000000000000}"/>
    <hyperlink ref="B3" location="JR_PAGE_ANCHOR_0_3" display="AXIS113" xr:uid="{00000000-0004-0000-0000-000001000000}"/>
    <hyperlink ref="B4" location="JR_PAGE_ANCHOR_0_5" display="AXISASD" xr:uid="{00000000-0004-0000-0000-000003000000}"/>
    <hyperlink ref="B5" location="JR_PAGE_ANCHOR_0_7" display="AXISBDF" xr:uid="{00000000-0004-0000-0000-000005000000}"/>
    <hyperlink ref="B6" location="JR_PAGE_ANCHOR_0_10" display="AXISCBS" xr:uid="{00000000-0004-0000-0000-000008000000}"/>
    <hyperlink ref="B7" location="JR_PAGE_ANCHOR_0_11" display="AXISCDL" xr:uid="{00000000-0004-0000-0000-000009000000}"/>
    <hyperlink ref="B8" location="JR_PAGE_ANCHOR_0_13" display="AXISCFS" xr:uid="{00000000-0004-0000-0000-00000B000000}"/>
    <hyperlink ref="B9" location="JR_PAGE_ANCHOR_0_15" display="AXISCIB" xr:uid="{00000000-0004-0000-0000-00000D000000}"/>
    <hyperlink ref="B10" location="JR_PAGE_ANCHOR_0_16" display="AXISCIG" xr:uid="{00000000-0004-0000-0000-00000E000000}"/>
    <hyperlink ref="B11" location="JR_PAGE_ANCHOR_0_17" display="AXISCOF" xr:uid="{00000000-0004-0000-0000-00000F000000}"/>
    <hyperlink ref="B12" location="JR_PAGE_ANCHOR_0_19" display="AXISCSDL" xr:uid="{00000000-0004-0000-0000-000011000000}"/>
    <hyperlink ref="B13" location="JR_PAGE_ANCHOR_0_20" display="AXISDBF" xr:uid="{00000000-0004-0000-0000-000012000000}"/>
    <hyperlink ref="B14" location="JR_PAGE_ANCHOR_0_30" display="AXISFLO" xr:uid="{00000000-0004-0000-0000-00001C000000}"/>
    <hyperlink ref="B15" location="JR_PAGE_ANCHOR_0_31" display="AXISFSD" xr:uid="{00000000-0004-0000-0000-00001D000000}"/>
    <hyperlink ref="B16" location="JR_PAGE_ANCHOR_0_39" display="AXISIAP" xr:uid="{00000000-0004-0000-0000-000025000000}"/>
    <hyperlink ref="B17" location="JR_PAGE_ANCHOR_0_40" display="AXISIFD" xr:uid="{00000000-0004-0000-0000-000026000000}"/>
    <hyperlink ref="B18" location="JR_PAGE_ANCHOR_0_42" display="AXISIOF" xr:uid="{00000000-0004-0000-0000-000028000000}"/>
    <hyperlink ref="B19" location="JR_PAGE_ANCHOR_0_43" display="AXISISF" xr:uid="{00000000-0004-0000-0000-000029000000}"/>
    <hyperlink ref="B20" location="JR_PAGE_ANCHOR_0_44" display="AXISLDF" xr:uid="{00000000-0004-0000-0000-00002A000000}"/>
    <hyperlink ref="B21" location="JR_PAGE_ANCHOR_0_45" display="AXISLFA" xr:uid="{00000000-0004-0000-0000-00002B000000}"/>
    <hyperlink ref="B22" location="JR_PAGE_ANCHOR_0_46" display="AXISM10" xr:uid="{00000000-0004-0000-0000-00002C000000}"/>
    <hyperlink ref="B23" location="JR_PAGE_ANCHOR_0_52" display="AXISMMF" xr:uid="{00000000-0004-0000-0000-000032000000}"/>
    <hyperlink ref="B24" location="JR_PAGE_ANCHOR_0_58" display="AXISNHS" xr:uid="{00000000-0004-0000-0000-000038000000}"/>
    <hyperlink ref="B25" location="JR_PAGE_ANCHOR_0_65" display="AXISONF" xr:uid="{00000000-0004-0000-0000-00003F000000}"/>
    <hyperlink ref="B26" location="JR_PAGE_ANCHOR_0_69" display="AXISRCP" xr:uid="{00000000-0004-0000-0000-000043000000}"/>
    <hyperlink ref="B27" location="JR_PAGE_ANCHOR_0_72" display="AXISSDI" xr:uid="{00000000-0004-0000-0000-000046000000}"/>
    <hyperlink ref="B28" location="JR_PAGE_ANCHOR_0_73" display="AXISSDL" xr:uid="{00000000-0004-0000-0000-000047000000}"/>
    <hyperlink ref="B29" location="JR_PAGE_ANCHOR_0_74" display="AXISSETF" xr:uid="{00000000-0004-0000-0000-000048000000}"/>
    <hyperlink ref="B30" location="JR_PAGE_ANCHOR_0_79" display="AXISSTF" xr:uid="{00000000-0004-0000-0000-00004D000000}"/>
    <hyperlink ref="B31" location="JR_PAGE_ANCHOR_0_80" display="AXISTAA" xr:uid="{00000000-0004-0000-0000-00004E000000}"/>
    <hyperlink ref="B32" location="JR_PAGE_ANCHOR_0_82" display="AXISTDB" xr:uid="{00000000-0004-0000-0000-000050000000}"/>
    <hyperlink ref="B33" location="JR_PAGE_ANCHOR_0_85" display="AXISUSF" xr:uid="{00000000-0004-0000-0000-000053000000}"/>
  </hyperlink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28"/>
  <sheetViews>
    <sheetView workbookViewId="0">
      <selection activeCell="B24" sqref="B24:I24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4</v>
      </c>
      <c r="B1" s="4" t="s">
        <v>5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81</v>
      </c>
      <c r="B7" s="18" t="s">
        <v>82</v>
      </c>
      <c r="C7" s="14" t="s">
        <v>83</v>
      </c>
      <c r="D7" s="14" t="s">
        <v>84</v>
      </c>
      <c r="E7" s="19">
        <v>4726000</v>
      </c>
      <c r="F7" s="20">
        <v>4662.5439999999999</v>
      </c>
      <c r="G7" s="21">
        <v>0.57050000000000001</v>
      </c>
      <c r="H7" s="22">
        <v>5.3415999999999998E-2</v>
      </c>
      <c r="I7" s="23"/>
    </row>
    <row r="8" spans="1:9" ht="12.9" customHeight="1">
      <c r="A8" s="17" t="s">
        <v>85</v>
      </c>
      <c r="B8" s="18" t="s">
        <v>86</v>
      </c>
      <c r="C8" s="14" t="s">
        <v>87</v>
      </c>
      <c r="D8" s="14" t="s">
        <v>84</v>
      </c>
      <c r="E8" s="19">
        <v>3532800</v>
      </c>
      <c r="F8" s="20">
        <v>3488.9614999999999</v>
      </c>
      <c r="G8" s="21">
        <v>0.4269</v>
      </c>
      <c r="H8" s="22">
        <v>5.3328E-2</v>
      </c>
      <c r="I8" s="23"/>
    </row>
    <row r="9" spans="1:9" ht="12.9" customHeight="1">
      <c r="A9" s="5"/>
      <c r="B9" s="13" t="s">
        <v>88</v>
      </c>
      <c r="C9" s="14"/>
      <c r="D9" s="14"/>
      <c r="E9" s="14"/>
      <c r="F9" s="24">
        <v>8151.5055000000002</v>
      </c>
      <c r="G9" s="25">
        <v>0.99750000000000005</v>
      </c>
      <c r="H9" s="26"/>
      <c r="I9" s="27"/>
    </row>
    <row r="10" spans="1:9" ht="12.9" customHeight="1">
      <c r="A10" s="5"/>
      <c r="B10" s="28" t="s">
        <v>89</v>
      </c>
      <c r="C10" s="2"/>
      <c r="D10" s="2"/>
      <c r="E10" s="2"/>
      <c r="F10" s="26" t="s">
        <v>90</v>
      </c>
      <c r="G10" s="26" t="s">
        <v>90</v>
      </c>
      <c r="H10" s="26"/>
      <c r="I10" s="27"/>
    </row>
    <row r="11" spans="1:9" ht="12.9" customHeight="1">
      <c r="A11" s="5"/>
      <c r="B11" s="28" t="s">
        <v>88</v>
      </c>
      <c r="C11" s="2"/>
      <c r="D11" s="2"/>
      <c r="E11" s="2"/>
      <c r="F11" s="26" t="s">
        <v>90</v>
      </c>
      <c r="G11" s="26" t="s">
        <v>90</v>
      </c>
      <c r="H11" s="26"/>
      <c r="I11" s="27"/>
    </row>
    <row r="12" spans="1:9" ht="12.9" customHeight="1">
      <c r="A12" s="5"/>
      <c r="B12" s="28" t="s">
        <v>91</v>
      </c>
      <c r="C12" s="29"/>
      <c r="D12" s="2"/>
      <c r="E12" s="29"/>
      <c r="F12" s="24">
        <v>8151.5055000000002</v>
      </c>
      <c r="G12" s="25">
        <v>0.99750000000000005</v>
      </c>
      <c r="H12" s="26"/>
      <c r="I12" s="27"/>
    </row>
    <row r="13" spans="1:9" ht="12.9" customHeight="1">
      <c r="A13" s="5"/>
      <c r="B13" s="13" t="s">
        <v>92</v>
      </c>
      <c r="C13" s="14"/>
      <c r="D13" s="14"/>
      <c r="E13" s="14"/>
      <c r="F13" s="14"/>
      <c r="G13" s="14"/>
      <c r="H13" s="15"/>
      <c r="I13" s="16"/>
    </row>
    <row r="14" spans="1:9" ht="12.9" customHeight="1">
      <c r="A14" s="17" t="s">
        <v>93</v>
      </c>
      <c r="B14" s="18" t="s">
        <v>94</v>
      </c>
      <c r="C14" s="14"/>
      <c r="D14" s="14"/>
      <c r="E14" s="19"/>
      <c r="F14" s="20">
        <v>0.08</v>
      </c>
      <c r="G14" s="30" t="s">
        <v>95</v>
      </c>
      <c r="H14" s="22">
        <v>5.0650777795419114E-2</v>
      </c>
      <c r="I14" s="23"/>
    </row>
    <row r="15" spans="1:9" ht="12.9" customHeight="1">
      <c r="A15" s="5"/>
      <c r="B15" s="13" t="s">
        <v>88</v>
      </c>
      <c r="C15" s="14"/>
      <c r="D15" s="14"/>
      <c r="E15" s="14"/>
      <c r="F15" s="24">
        <v>0.08</v>
      </c>
      <c r="G15" s="26" t="s">
        <v>95</v>
      </c>
      <c r="H15" s="26"/>
      <c r="I15" s="27"/>
    </row>
    <row r="16" spans="1:9" ht="12.9" customHeight="1">
      <c r="A16" s="5"/>
      <c r="B16" s="28" t="s">
        <v>91</v>
      </c>
      <c r="C16" s="29"/>
      <c r="D16" s="2"/>
      <c r="E16" s="29"/>
      <c r="F16" s="24">
        <v>0.08</v>
      </c>
      <c r="G16" s="26" t="s">
        <v>95</v>
      </c>
      <c r="H16" s="26"/>
      <c r="I16" s="27"/>
    </row>
    <row r="17" spans="1:9" ht="12.9" customHeight="1">
      <c r="A17" s="5"/>
      <c r="B17" s="28" t="s">
        <v>96</v>
      </c>
      <c r="C17" s="14"/>
      <c r="D17" s="2"/>
      <c r="E17" s="14"/>
      <c r="F17" s="31">
        <v>20.5245</v>
      </c>
      <c r="G17" s="25">
        <v>2.5000000000000001E-3</v>
      </c>
      <c r="H17" s="26"/>
      <c r="I17" s="27"/>
    </row>
    <row r="18" spans="1:9" ht="12.9" customHeight="1">
      <c r="A18" s="5"/>
      <c r="B18" s="32" t="s">
        <v>97</v>
      </c>
      <c r="C18" s="33"/>
      <c r="D18" s="33"/>
      <c r="E18" s="33"/>
      <c r="F18" s="34">
        <v>8172.11</v>
      </c>
      <c r="G18" s="35">
        <v>1</v>
      </c>
      <c r="H18" s="36"/>
      <c r="I18" s="37"/>
    </row>
    <row r="19" spans="1:9" ht="12.9" customHeight="1">
      <c r="A19" s="5"/>
      <c r="B19" s="7"/>
      <c r="C19" s="5"/>
      <c r="D19" s="5"/>
      <c r="E19" s="5"/>
      <c r="F19" s="5"/>
      <c r="G19" s="5"/>
      <c r="H19" s="5"/>
      <c r="I19" s="5"/>
    </row>
    <row r="20" spans="1:9" ht="12.9" customHeight="1">
      <c r="A20" s="5"/>
      <c r="B20" s="4" t="s">
        <v>98</v>
      </c>
      <c r="C20" s="5"/>
      <c r="D20" s="5"/>
      <c r="E20" s="5"/>
      <c r="F20" s="5"/>
      <c r="G20" s="5"/>
      <c r="H20" s="5"/>
      <c r="I20" s="5"/>
    </row>
    <row r="21" spans="1:9" ht="12.9" customHeight="1">
      <c r="A21" s="5"/>
      <c r="B21" s="4" t="s">
        <v>99</v>
      </c>
      <c r="C21" s="5"/>
      <c r="D21" s="5"/>
      <c r="E21" s="5"/>
      <c r="F21" s="5"/>
      <c r="G21" s="5"/>
      <c r="H21" s="5"/>
      <c r="I21" s="5"/>
    </row>
    <row r="22" spans="1:9" ht="26.1" customHeight="1">
      <c r="A22" s="5"/>
      <c r="B22" s="50" t="s">
        <v>100</v>
      </c>
      <c r="C22" s="50"/>
      <c r="D22" s="50"/>
      <c r="E22" s="50"/>
      <c r="F22" s="50"/>
      <c r="G22" s="50"/>
      <c r="H22" s="50"/>
      <c r="I22" s="50"/>
    </row>
    <row r="23" spans="1:9" ht="12.9" customHeight="1">
      <c r="A23" s="5"/>
      <c r="B23" s="50" t="s">
        <v>101</v>
      </c>
      <c r="C23" s="50"/>
      <c r="D23" s="50"/>
      <c r="E23" s="50"/>
      <c r="F23" s="50"/>
      <c r="G23" s="50"/>
      <c r="H23" s="50"/>
      <c r="I23" s="50"/>
    </row>
    <row r="24" spans="1:9" ht="12.9" customHeight="1">
      <c r="A24" s="5"/>
      <c r="B24" s="50"/>
      <c r="C24" s="50"/>
      <c r="D24" s="50"/>
      <c r="E24" s="50"/>
      <c r="F24" s="50"/>
      <c r="G24" s="50"/>
      <c r="H24" s="50"/>
      <c r="I24" s="50"/>
    </row>
    <row r="25" spans="1:9" ht="12.9" customHeight="1">
      <c r="A25" s="5"/>
      <c r="B25" s="50"/>
      <c r="C25" s="50"/>
      <c r="D25" s="50"/>
      <c r="E25" s="50"/>
      <c r="F25" s="50"/>
      <c r="G25" s="50"/>
      <c r="H25" s="50"/>
      <c r="I25" s="50"/>
    </row>
    <row r="26" spans="1:9" ht="12.9" customHeight="1">
      <c r="A26" s="5"/>
      <c r="B26" s="5"/>
      <c r="C26" s="51" t="s">
        <v>102</v>
      </c>
      <c r="D26" s="51"/>
      <c r="E26" s="51"/>
      <c r="F26" s="51"/>
      <c r="G26" s="5"/>
      <c r="H26" s="5"/>
      <c r="I26" s="5"/>
    </row>
    <row r="27" spans="1:9" ht="12.9" customHeight="1">
      <c r="A27" s="5"/>
      <c r="B27" s="38" t="s">
        <v>103</v>
      </c>
      <c r="C27" s="51" t="s">
        <v>104</v>
      </c>
      <c r="D27" s="51"/>
      <c r="E27" s="51"/>
      <c r="F27" s="51"/>
      <c r="G27" s="5"/>
      <c r="H27" s="5"/>
      <c r="I27" s="5"/>
    </row>
    <row r="28" spans="1:9" ht="135" customHeight="1">
      <c r="A28" s="5"/>
      <c r="B28" s="39"/>
      <c r="C28" s="52"/>
      <c r="D28" s="52"/>
      <c r="E28" s="5"/>
      <c r="F28" s="5"/>
      <c r="G28" s="5"/>
      <c r="H28" s="5"/>
      <c r="I28" s="5"/>
    </row>
  </sheetData>
  <mergeCells count="7">
    <mergeCell ref="B25:I25"/>
    <mergeCell ref="C26:F26"/>
    <mergeCell ref="C27:F27"/>
    <mergeCell ref="C28:D28"/>
    <mergeCell ref="B22:I22"/>
    <mergeCell ref="B23:I23"/>
    <mergeCell ref="B24:I24"/>
  </mergeCells>
  <hyperlinks>
    <hyperlink ref="A1" location="AxisFixedTermPlanSeries1121143Days" display="AXIS112" xr:uid="{00000000-0004-0000-0100-000000000000}"/>
    <hyperlink ref="B1" location="AxisFixedTermPlanSeries1121143Days" display="Axis Fixed Term Plan - Series 112 (1143 Days)" xr:uid="{00000000-0004-0000-0100-000001000000}"/>
  </hyperlinks>
  <pageMargins left="0" right="0" top="0" bottom="0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39"/>
  <sheetViews>
    <sheetView workbookViewId="0">
      <selection activeCell="B35" sqref="B35:I35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6</v>
      </c>
      <c r="B1" s="4" t="s">
        <v>7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106</v>
      </c>
      <c r="B7" s="18" t="s">
        <v>107</v>
      </c>
      <c r="C7" s="14" t="s">
        <v>108</v>
      </c>
      <c r="D7" s="14" t="s">
        <v>109</v>
      </c>
      <c r="E7" s="19">
        <v>1050</v>
      </c>
      <c r="F7" s="20">
        <v>1051.6937</v>
      </c>
      <c r="G7" s="21">
        <v>0.1061</v>
      </c>
      <c r="H7" s="22">
        <v>6.4597000000000002E-2</v>
      </c>
      <c r="I7" s="23"/>
    </row>
    <row r="8" spans="1:9" ht="12.9" customHeight="1">
      <c r="A8" s="17" t="s">
        <v>110</v>
      </c>
      <c r="B8" s="18" t="s">
        <v>111</v>
      </c>
      <c r="C8" s="14" t="s">
        <v>112</v>
      </c>
      <c r="D8" s="14" t="s">
        <v>109</v>
      </c>
      <c r="E8" s="19">
        <v>950</v>
      </c>
      <c r="F8" s="20">
        <v>952.40449999999998</v>
      </c>
      <c r="G8" s="21">
        <v>9.6100000000000005E-2</v>
      </c>
      <c r="H8" s="22">
        <v>6.5500000000000003E-2</v>
      </c>
      <c r="I8" s="23"/>
    </row>
    <row r="9" spans="1:9" ht="12.9" customHeight="1">
      <c r="A9" s="17" t="s">
        <v>113</v>
      </c>
      <c r="B9" s="18" t="s">
        <v>114</v>
      </c>
      <c r="C9" s="14" t="s">
        <v>115</v>
      </c>
      <c r="D9" s="14" t="s">
        <v>109</v>
      </c>
      <c r="E9" s="19">
        <v>900</v>
      </c>
      <c r="F9" s="20">
        <v>902.25900000000001</v>
      </c>
      <c r="G9" s="21">
        <v>9.0999999999999998E-2</v>
      </c>
      <c r="H9" s="22">
        <v>6.7299999999999999E-2</v>
      </c>
      <c r="I9" s="23"/>
    </row>
    <row r="10" spans="1:9" ht="12.9" customHeight="1">
      <c r="A10" s="17" t="s">
        <v>116</v>
      </c>
      <c r="B10" s="18" t="s">
        <v>117</v>
      </c>
      <c r="C10" s="14" t="s">
        <v>118</v>
      </c>
      <c r="D10" s="14" t="s">
        <v>109</v>
      </c>
      <c r="E10" s="19">
        <v>900</v>
      </c>
      <c r="F10" s="20">
        <v>902.09429999999998</v>
      </c>
      <c r="G10" s="21">
        <v>9.0999999999999998E-2</v>
      </c>
      <c r="H10" s="22">
        <v>6.275E-2</v>
      </c>
      <c r="I10" s="23"/>
    </row>
    <row r="11" spans="1:9" ht="12.9" customHeight="1">
      <c r="A11" s="17" t="s">
        <v>119</v>
      </c>
      <c r="B11" s="18" t="s">
        <v>120</v>
      </c>
      <c r="C11" s="14" t="s">
        <v>121</v>
      </c>
      <c r="D11" s="14" t="s">
        <v>109</v>
      </c>
      <c r="E11" s="19">
        <v>900</v>
      </c>
      <c r="F11" s="20">
        <v>901.93320000000006</v>
      </c>
      <c r="G11" s="21">
        <v>9.0999999999999998E-2</v>
      </c>
      <c r="H11" s="22">
        <v>6.3549999999999995E-2</v>
      </c>
      <c r="I11" s="23"/>
    </row>
    <row r="12" spans="1:9" ht="12.9" customHeight="1">
      <c r="A12" s="17" t="s">
        <v>122</v>
      </c>
      <c r="B12" s="18" t="s">
        <v>123</v>
      </c>
      <c r="C12" s="14" t="s">
        <v>124</v>
      </c>
      <c r="D12" s="14" t="s">
        <v>109</v>
      </c>
      <c r="E12" s="19">
        <v>900</v>
      </c>
      <c r="F12" s="20">
        <v>901.65150000000006</v>
      </c>
      <c r="G12" s="21">
        <v>9.0999999999999998E-2</v>
      </c>
      <c r="H12" s="22">
        <v>6.2897999999999996E-2</v>
      </c>
      <c r="I12" s="23"/>
    </row>
    <row r="13" spans="1:9" ht="12.9" customHeight="1">
      <c r="A13" s="17" t="s">
        <v>125</v>
      </c>
      <c r="B13" s="18" t="s">
        <v>126</v>
      </c>
      <c r="C13" s="14" t="s">
        <v>127</v>
      </c>
      <c r="D13" s="14" t="s">
        <v>109</v>
      </c>
      <c r="E13" s="19">
        <v>89</v>
      </c>
      <c r="F13" s="20">
        <v>891.28610000000003</v>
      </c>
      <c r="G13" s="21">
        <v>8.9899999999999994E-2</v>
      </c>
      <c r="H13" s="22">
        <v>6.7207000000000003E-2</v>
      </c>
      <c r="I13" s="23"/>
    </row>
    <row r="14" spans="1:9" ht="12.9" customHeight="1">
      <c r="A14" s="17" t="s">
        <v>128</v>
      </c>
      <c r="B14" s="18" t="s">
        <v>129</v>
      </c>
      <c r="C14" s="14" t="s">
        <v>130</v>
      </c>
      <c r="D14" s="14" t="s">
        <v>109</v>
      </c>
      <c r="E14" s="19">
        <v>75</v>
      </c>
      <c r="F14" s="20">
        <v>752.73680000000002</v>
      </c>
      <c r="G14" s="21">
        <v>7.5899999999999995E-2</v>
      </c>
      <c r="H14" s="22">
        <v>6.3950000000000007E-2</v>
      </c>
      <c r="I14" s="23"/>
    </row>
    <row r="15" spans="1:9" ht="12.9" customHeight="1">
      <c r="A15" s="17" t="s">
        <v>131</v>
      </c>
      <c r="B15" s="18" t="s">
        <v>132</v>
      </c>
      <c r="C15" s="14" t="s">
        <v>133</v>
      </c>
      <c r="D15" s="14" t="s">
        <v>109</v>
      </c>
      <c r="E15" s="19">
        <v>75</v>
      </c>
      <c r="F15" s="20">
        <v>751.72649999999999</v>
      </c>
      <c r="G15" s="21">
        <v>7.5800000000000006E-2</v>
      </c>
      <c r="H15" s="22">
        <v>6.9150000000000003E-2</v>
      </c>
      <c r="I15" s="23"/>
    </row>
    <row r="16" spans="1:9" ht="12.9" customHeight="1">
      <c r="A16" s="17" t="s">
        <v>134</v>
      </c>
      <c r="B16" s="18" t="s">
        <v>135</v>
      </c>
      <c r="C16" s="14" t="s">
        <v>136</v>
      </c>
      <c r="D16" s="14" t="s">
        <v>109</v>
      </c>
      <c r="E16" s="19">
        <v>50</v>
      </c>
      <c r="F16" s="20">
        <v>501.54700000000003</v>
      </c>
      <c r="G16" s="21">
        <v>5.0599999999999999E-2</v>
      </c>
      <c r="H16" s="22">
        <v>6.2751000000000001E-2</v>
      </c>
      <c r="I16" s="23"/>
    </row>
    <row r="17" spans="1:9" ht="12.9" customHeight="1">
      <c r="A17" s="17" t="s">
        <v>137</v>
      </c>
      <c r="B17" s="18" t="s">
        <v>138</v>
      </c>
      <c r="C17" s="14" t="s">
        <v>139</v>
      </c>
      <c r="D17" s="14" t="s">
        <v>109</v>
      </c>
      <c r="E17" s="19">
        <v>500</v>
      </c>
      <c r="F17" s="20">
        <v>500.89800000000002</v>
      </c>
      <c r="G17" s="21">
        <v>5.0500000000000003E-2</v>
      </c>
      <c r="H17" s="22">
        <v>6.4838000000000007E-2</v>
      </c>
      <c r="I17" s="23"/>
    </row>
    <row r="18" spans="1:9" ht="12.9" customHeight="1">
      <c r="A18" s="17" t="s">
        <v>140</v>
      </c>
      <c r="B18" s="18" t="s">
        <v>141</v>
      </c>
      <c r="C18" s="14" t="s">
        <v>142</v>
      </c>
      <c r="D18" s="14" t="s">
        <v>109</v>
      </c>
      <c r="E18" s="19">
        <v>25</v>
      </c>
      <c r="F18" s="20">
        <v>251.1645</v>
      </c>
      <c r="G18" s="21">
        <v>2.53E-2</v>
      </c>
      <c r="H18" s="22">
        <v>6.4838000000000007E-2</v>
      </c>
      <c r="I18" s="23"/>
    </row>
    <row r="19" spans="1:9" ht="12.9" customHeight="1">
      <c r="A19" s="17" t="s">
        <v>143</v>
      </c>
      <c r="B19" s="18" t="s">
        <v>144</v>
      </c>
      <c r="C19" s="14" t="s">
        <v>145</v>
      </c>
      <c r="D19" s="14" t="s">
        <v>109</v>
      </c>
      <c r="E19" s="19">
        <v>50</v>
      </c>
      <c r="F19" s="20">
        <v>50.124899999999997</v>
      </c>
      <c r="G19" s="21">
        <v>5.1000000000000004E-3</v>
      </c>
      <c r="H19" s="22">
        <v>6.5000000000000002E-2</v>
      </c>
      <c r="I19" s="23"/>
    </row>
    <row r="20" spans="1:9" ht="12.9" customHeight="1">
      <c r="A20" s="5"/>
      <c r="B20" s="13" t="s">
        <v>88</v>
      </c>
      <c r="C20" s="14"/>
      <c r="D20" s="14"/>
      <c r="E20" s="14"/>
      <c r="F20" s="24">
        <v>9311.5198</v>
      </c>
      <c r="G20" s="25">
        <v>0.93930000000000002</v>
      </c>
      <c r="H20" s="26"/>
      <c r="I20" s="27"/>
    </row>
    <row r="21" spans="1:9" ht="12.9" customHeight="1">
      <c r="A21" s="5"/>
      <c r="B21" s="28" t="s">
        <v>89</v>
      </c>
      <c r="C21" s="2"/>
      <c r="D21" s="2"/>
      <c r="E21" s="2"/>
      <c r="F21" s="26" t="s">
        <v>90</v>
      </c>
      <c r="G21" s="26" t="s">
        <v>90</v>
      </c>
      <c r="H21" s="26"/>
      <c r="I21" s="27"/>
    </row>
    <row r="22" spans="1:9" ht="12.9" customHeight="1">
      <c r="A22" s="5"/>
      <c r="B22" s="28" t="s">
        <v>88</v>
      </c>
      <c r="C22" s="2"/>
      <c r="D22" s="2"/>
      <c r="E22" s="2"/>
      <c r="F22" s="26" t="s">
        <v>90</v>
      </c>
      <c r="G22" s="26" t="s">
        <v>90</v>
      </c>
      <c r="H22" s="26"/>
      <c r="I22" s="27"/>
    </row>
    <row r="23" spans="1:9" ht="12.9" customHeight="1">
      <c r="A23" s="5"/>
      <c r="B23" s="28" t="s">
        <v>91</v>
      </c>
      <c r="C23" s="29"/>
      <c r="D23" s="2"/>
      <c r="E23" s="29"/>
      <c r="F23" s="24">
        <v>9311.5198</v>
      </c>
      <c r="G23" s="25">
        <v>0.93930000000000002</v>
      </c>
      <c r="H23" s="26"/>
      <c r="I23" s="27"/>
    </row>
    <row r="24" spans="1:9" ht="12.9" customHeight="1">
      <c r="A24" s="5"/>
      <c r="B24" s="13" t="s">
        <v>92</v>
      </c>
      <c r="C24" s="14"/>
      <c r="D24" s="14"/>
      <c r="E24" s="14"/>
      <c r="F24" s="14"/>
      <c r="G24" s="14"/>
      <c r="H24" s="15"/>
      <c r="I24" s="16"/>
    </row>
    <row r="25" spans="1:9" ht="12.9" customHeight="1">
      <c r="A25" s="17" t="s">
        <v>93</v>
      </c>
      <c r="B25" s="18" t="s">
        <v>94</v>
      </c>
      <c r="C25" s="14"/>
      <c r="D25" s="14"/>
      <c r="E25" s="19"/>
      <c r="F25" s="20">
        <v>145.57</v>
      </c>
      <c r="G25" s="21">
        <v>1.47E-2</v>
      </c>
      <c r="H25" s="22">
        <v>5.0765052258424731E-2</v>
      </c>
      <c r="I25" s="23"/>
    </row>
    <row r="26" spans="1:9" ht="12.9" customHeight="1">
      <c r="A26" s="5"/>
      <c r="B26" s="13" t="s">
        <v>88</v>
      </c>
      <c r="C26" s="14"/>
      <c r="D26" s="14"/>
      <c r="E26" s="14"/>
      <c r="F26" s="24">
        <v>145.57</v>
      </c>
      <c r="G26" s="25">
        <v>1.47E-2</v>
      </c>
      <c r="H26" s="26"/>
      <c r="I26" s="27"/>
    </row>
    <row r="27" spans="1:9" ht="12.9" customHeight="1">
      <c r="A27" s="5"/>
      <c r="B27" s="28" t="s">
        <v>91</v>
      </c>
      <c r="C27" s="29"/>
      <c r="D27" s="2"/>
      <c r="E27" s="29"/>
      <c r="F27" s="24">
        <v>145.57</v>
      </c>
      <c r="G27" s="25">
        <v>1.47E-2</v>
      </c>
      <c r="H27" s="26"/>
      <c r="I27" s="27"/>
    </row>
    <row r="28" spans="1:9" ht="12.9" customHeight="1">
      <c r="A28" s="5"/>
      <c r="B28" s="28" t="s">
        <v>96</v>
      </c>
      <c r="C28" s="14"/>
      <c r="D28" s="2"/>
      <c r="E28" s="14"/>
      <c r="F28" s="31">
        <v>456.40019999999998</v>
      </c>
      <c r="G28" s="25">
        <v>4.5999999999999999E-2</v>
      </c>
      <c r="H28" s="26"/>
      <c r="I28" s="27"/>
    </row>
    <row r="29" spans="1:9" ht="12.9" customHeight="1">
      <c r="A29" s="5"/>
      <c r="B29" s="32" t="s">
        <v>97</v>
      </c>
      <c r="C29" s="33"/>
      <c r="D29" s="33"/>
      <c r="E29" s="33"/>
      <c r="F29" s="34">
        <v>9913.49</v>
      </c>
      <c r="G29" s="35">
        <v>1</v>
      </c>
      <c r="H29" s="36"/>
      <c r="I29" s="37"/>
    </row>
    <row r="30" spans="1:9" ht="12.9" customHeight="1">
      <c r="A30" s="5"/>
      <c r="B30" s="7"/>
      <c r="C30" s="5"/>
      <c r="D30" s="5"/>
      <c r="E30" s="5"/>
      <c r="F30" s="5"/>
      <c r="G30" s="5"/>
      <c r="H30" s="5"/>
      <c r="I30" s="5"/>
    </row>
    <row r="31" spans="1:9" ht="12.9" customHeight="1">
      <c r="A31" s="5"/>
      <c r="B31" s="4" t="s">
        <v>146</v>
      </c>
      <c r="C31" s="5"/>
      <c r="D31" s="5"/>
      <c r="E31" s="5"/>
      <c r="F31" s="5"/>
      <c r="G31" s="5"/>
      <c r="H31" s="5"/>
      <c r="I31" s="5"/>
    </row>
    <row r="32" spans="1:9" ht="12.9" customHeight="1">
      <c r="A32" s="5"/>
      <c r="B32" s="4" t="s">
        <v>99</v>
      </c>
      <c r="C32" s="5"/>
      <c r="D32" s="5"/>
      <c r="E32" s="5"/>
      <c r="F32" s="5"/>
      <c r="G32" s="5"/>
      <c r="H32" s="5"/>
      <c r="I32" s="5"/>
    </row>
    <row r="33" spans="1:9" ht="26.1" customHeight="1">
      <c r="A33" s="5"/>
      <c r="B33" s="50" t="s">
        <v>100</v>
      </c>
      <c r="C33" s="50"/>
      <c r="D33" s="50"/>
      <c r="E33" s="50"/>
      <c r="F33" s="50"/>
      <c r="G33" s="50"/>
      <c r="H33" s="50"/>
      <c r="I33" s="50"/>
    </row>
    <row r="34" spans="1:9" ht="12.9" customHeight="1">
      <c r="A34" s="5"/>
      <c r="B34" s="50" t="s">
        <v>101</v>
      </c>
      <c r="C34" s="50"/>
      <c r="D34" s="50"/>
      <c r="E34" s="50"/>
      <c r="F34" s="50"/>
      <c r="G34" s="50"/>
      <c r="H34" s="50"/>
      <c r="I34" s="50"/>
    </row>
    <row r="35" spans="1:9" ht="12.9" customHeight="1">
      <c r="A35" s="5"/>
      <c r="B35" s="50"/>
      <c r="C35" s="50"/>
      <c r="D35" s="50"/>
      <c r="E35" s="50"/>
      <c r="F35" s="50"/>
      <c r="G35" s="50"/>
      <c r="H35" s="50"/>
      <c r="I35" s="50"/>
    </row>
    <row r="36" spans="1:9" ht="12.9" customHeight="1">
      <c r="A36" s="5"/>
      <c r="B36" s="50"/>
      <c r="C36" s="50"/>
      <c r="D36" s="50"/>
      <c r="E36" s="50"/>
      <c r="F36" s="50"/>
      <c r="G36" s="50"/>
      <c r="H36" s="50"/>
      <c r="I36" s="50"/>
    </row>
    <row r="37" spans="1:9" ht="12.9" customHeight="1">
      <c r="A37" s="5"/>
      <c r="B37" s="5"/>
      <c r="C37" s="51" t="s">
        <v>102</v>
      </c>
      <c r="D37" s="51"/>
      <c r="E37" s="51"/>
      <c r="F37" s="51"/>
      <c r="G37" s="5"/>
      <c r="H37" s="5"/>
      <c r="I37" s="5"/>
    </row>
    <row r="38" spans="1:9" ht="12.9" customHeight="1">
      <c r="A38" s="5"/>
      <c r="B38" s="38" t="s">
        <v>103</v>
      </c>
      <c r="C38" s="51" t="s">
        <v>104</v>
      </c>
      <c r="D38" s="51"/>
      <c r="E38" s="51"/>
      <c r="F38" s="51"/>
      <c r="G38" s="5"/>
      <c r="H38" s="5"/>
      <c r="I38" s="5"/>
    </row>
    <row r="39" spans="1:9" ht="135" customHeight="1">
      <c r="A39" s="5"/>
      <c r="B39" s="39"/>
      <c r="C39" s="52"/>
      <c r="D39" s="52"/>
      <c r="E39" s="5"/>
      <c r="F39" s="5"/>
      <c r="G39" s="5"/>
      <c r="H39" s="5"/>
      <c r="I39" s="5"/>
    </row>
  </sheetData>
  <mergeCells count="7">
    <mergeCell ref="B36:I36"/>
    <mergeCell ref="C37:F37"/>
    <mergeCell ref="C38:F38"/>
    <mergeCell ref="C39:D39"/>
    <mergeCell ref="B33:I33"/>
    <mergeCell ref="B34:I34"/>
    <mergeCell ref="B35:I35"/>
  </mergeCells>
  <hyperlinks>
    <hyperlink ref="A1" location="AxisFixedTermPlanSeries1131228Days" display="AXIS113" xr:uid="{00000000-0004-0000-0200-000000000000}"/>
    <hyperlink ref="B1" location="AxisFixedTermPlanSeries1131228Days" display="Axis Fixed Term Plan - Series 113 (1228 Days)" xr:uid="{00000000-0004-0000-0200-000001000000}"/>
  </hyperlinks>
  <pageMargins left="0" right="0" top="0" bottom="0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31"/>
  <sheetViews>
    <sheetView workbookViewId="0">
      <selection activeCell="B14" sqref="B14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8</v>
      </c>
      <c r="B1" s="4" t="s">
        <v>9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285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286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287</v>
      </c>
      <c r="B7" s="18" t="s">
        <v>288</v>
      </c>
      <c r="C7" s="14" t="s">
        <v>289</v>
      </c>
      <c r="D7" s="14"/>
      <c r="E7" s="19">
        <v>444225397.33200002</v>
      </c>
      <c r="F7" s="20">
        <v>82670.790699999998</v>
      </c>
      <c r="G7" s="21">
        <v>0.36730000000000002</v>
      </c>
      <c r="H7" s="30"/>
      <c r="I7" s="23"/>
    </row>
    <row r="8" spans="1:9" ht="12.9" customHeight="1">
      <c r="A8" s="17" t="s">
        <v>290</v>
      </c>
      <c r="B8" s="18" t="s">
        <v>291</v>
      </c>
      <c r="C8" s="14" t="s">
        <v>292</v>
      </c>
      <c r="D8" s="14"/>
      <c r="E8" s="19">
        <v>218831006.35100001</v>
      </c>
      <c r="F8" s="20">
        <v>45682.066700000003</v>
      </c>
      <c r="G8" s="21">
        <v>0.2029</v>
      </c>
      <c r="H8" s="30"/>
      <c r="I8" s="23"/>
    </row>
    <row r="9" spans="1:9" ht="12.9" customHeight="1">
      <c r="A9" s="17" t="s">
        <v>293</v>
      </c>
      <c r="B9" s="18" t="s">
        <v>294</v>
      </c>
      <c r="C9" s="14" t="s">
        <v>295</v>
      </c>
      <c r="D9" s="14"/>
      <c r="E9" s="19">
        <v>84392063.152999997</v>
      </c>
      <c r="F9" s="20">
        <v>24859.538799999998</v>
      </c>
      <c r="G9" s="21">
        <v>0.1104</v>
      </c>
      <c r="H9" s="30"/>
      <c r="I9" s="23"/>
    </row>
    <row r="10" spans="1:9" ht="12.9" customHeight="1">
      <c r="A10" s="17" t="s">
        <v>296</v>
      </c>
      <c r="B10" s="18" t="s">
        <v>297</v>
      </c>
      <c r="C10" s="14" t="s">
        <v>298</v>
      </c>
      <c r="D10" s="14"/>
      <c r="E10" s="19">
        <v>35298007.700000003</v>
      </c>
      <c r="F10" s="20">
        <v>22843.352800000001</v>
      </c>
      <c r="G10" s="21">
        <v>0.10150000000000001</v>
      </c>
      <c r="H10" s="30"/>
      <c r="I10" s="23"/>
    </row>
    <row r="11" spans="1:9" ht="12.9" customHeight="1">
      <c r="A11" s="17" t="s">
        <v>299</v>
      </c>
      <c r="B11" s="18" t="s">
        <v>300</v>
      </c>
      <c r="C11" s="14" t="s">
        <v>301</v>
      </c>
      <c r="D11" s="14"/>
      <c r="E11" s="19">
        <v>53202242.208999999</v>
      </c>
      <c r="F11" s="20">
        <v>21902.511900000001</v>
      </c>
      <c r="G11" s="21">
        <v>9.7299999999999998E-2</v>
      </c>
      <c r="H11" s="30"/>
      <c r="I11" s="23"/>
    </row>
    <row r="12" spans="1:9" ht="12.9" customHeight="1">
      <c r="A12" s="17" t="s">
        <v>302</v>
      </c>
      <c r="B12" s="18" t="s">
        <v>303</v>
      </c>
      <c r="C12" s="14" t="s">
        <v>304</v>
      </c>
      <c r="D12" s="14"/>
      <c r="E12" s="19">
        <v>13078430.797</v>
      </c>
      <c r="F12" s="20">
        <v>15385.0344</v>
      </c>
      <c r="G12" s="21">
        <v>6.83E-2</v>
      </c>
      <c r="H12" s="30"/>
      <c r="I12" s="23"/>
    </row>
    <row r="13" spans="1:9" ht="12.9" customHeight="1">
      <c r="A13" s="17" t="s">
        <v>305</v>
      </c>
      <c r="B13" s="18" t="s">
        <v>306</v>
      </c>
      <c r="C13" s="14" t="s">
        <v>307</v>
      </c>
      <c r="D13" s="14"/>
      <c r="E13" s="19">
        <v>21909276.278000001</v>
      </c>
      <c r="F13" s="20">
        <v>6009.3419999999996</v>
      </c>
      <c r="G13" s="21">
        <v>2.6700000000000002E-2</v>
      </c>
      <c r="H13" s="30"/>
      <c r="I13" s="23"/>
    </row>
    <row r="14" spans="1:9" ht="12.9" customHeight="1">
      <c r="A14" s="17" t="s">
        <v>308</v>
      </c>
      <c r="B14" s="18" t="s">
        <v>3063</v>
      </c>
      <c r="C14" s="14" t="s">
        <v>309</v>
      </c>
      <c r="D14" s="14"/>
      <c r="E14" s="19">
        <v>6615683.676</v>
      </c>
      <c r="F14" s="20">
        <v>2501.6480000000001</v>
      </c>
      <c r="G14" s="21">
        <v>1.11E-2</v>
      </c>
      <c r="H14" s="30"/>
      <c r="I14" s="23"/>
    </row>
    <row r="15" spans="1:9" ht="12.9" customHeight="1">
      <c r="A15" s="5"/>
      <c r="B15" s="13" t="s">
        <v>88</v>
      </c>
      <c r="C15" s="14"/>
      <c r="D15" s="14"/>
      <c r="E15" s="14"/>
      <c r="F15" s="24">
        <v>221854.28529999999</v>
      </c>
      <c r="G15" s="25">
        <v>0.98560000000000003</v>
      </c>
      <c r="H15" s="26"/>
      <c r="I15" s="27"/>
    </row>
    <row r="16" spans="1:9" ht="12.9" customHeight="1">
      <c r="A16" s="5"/>
      <c r="B16" s="28" t="s">
        <v>91</v>
      </c>
      <c r="C16" s="29"/>
      <c r="D16" s="2"/>
      <c r="E16" s="29"/>
      <c r="F16" s="24">
        <v>221854.28529999999</v>
      </c>
      <c r="G16" s="25">
        <v>0.98560000000000003</v>
      </c>
      <c r="H16" s="26"/>
      <c r="I16" s="27"/>
    </row>
    <row r="17" spans="1:9" ht="12.9" customHeight="1">
      <c r="A17" s="5"/>
      <c r="B17" s="13" t="s">
        <v>92</v>
      </c>
      <c r="C17" s="14"/>
      <c r="D17" s="14"/>
      <c r="E17" s="14"/>
      <c r="F17" s="14"/>
      <c r="G17" s="14"/>
      <c r="H17" s="15"/>
      <c r="I17" s="16"/>
    </row>
    <row r="18" spans="1:9" ht="12.9" customHeight="1">
      <c r="A18" s="17" t="s">
        <v>93</v>
      </c>
      <c r="B18" s="18" t="s">
        <v>94</v>
      </c>
      <c r="C18" s="14"/>
      <c r="D18" s="14"/>
      <c r="E18" s="19"/>
      <c r="F18" s="20">
        <v>1091.3499999999999</v>
      </c>
      <c r="G18" s="21">
        <v>4.7999999999999996E-3</v>
      </c>
      <c r="H18" s="22">
        <v>5.0765153213706178E-2</v>
      </c>
      <c r="I18" s="23"/>
    </row>
    <row r="19" spans="1:9" ht="12.9" customHeight="1">
      <c r="A19" s="5"/>
      <c r="B19" s="13" t="s">
        <v>88</v>
      </c>
      <c r="C19" s="14"/>
      <c r="D19" s="14"/>
      <c r="E19" s="14"/>
      <c r="F19" s="24">
        <v>1091.3499999999999</v>
      </c>
      <c r="G19" s="25">
        <v>4.7999999999999996E-3</v>
      </c>
      <c r="H19" s="26"/>
      <c r="I19" s="27"/>
    </row>
    <row r="20" spans="1:9" ht="12.9" customHeight="1">
      <c r="A20" s="5"/>
      <c r="B20" s="28" t="s">
        <v>91</v>
      </c>
      <c r="C20" s="29"/>
      <c r="D20" s="2"/>
      <c r="E20" s="29"/>
      <c r="F20" s="24">
        <v>1091.3499999999999</v>
      </c>
      <c r="G20" s="25">
        <v>4.7999999999999996E-3</v>
      </c>
      <c r="H20" s="26"/>
      <c r="I20" s="27"/>
    </row>
    <row r="21" spans="1:9" ht="12.9" customHeight="1">
      <c r="A21" s="5"/>
      <c r="B21" s="28" t="s">
        <v>96</v>
      </c>
      <c r="C21" s="14"/>
      <c r="D21" s="2"/>
      <c r="E21" s="14"/>
      <c r="F21" s="31">
        <v>2160.4146999999998</v>
      </c>
      <c r="G21" s="25">
        <v>9.5999999999999992E-3</v>
      </c>
      <c r="H21" s="26"/>
      <c r="I21" s="27"/>
    </row>
    <row r="22" spans="1:9" ht="12.9" customHeight="1">
      <c r="A22" s="5"/>
      <c r="B22" s="32" t="s">
        <v>97</v>
      </c>
      <c r="C22" s="33"/>
      <c r="D22" s="33"/>
      <c r="E22" s="33"/>
      <c r="F22" s="34">
        <v>225106.05</v>
      </c>
      <c r="G22" s="35">
        <v>1</v>
      </c>
      <c r="H22" s="36"/>
      <c r="I22" s="37"/>
    </row>
    <row r="23" spans="1:9" ht="12.9" customHeight="1">
      <c r="A23" s="5"/>
      <c r="B23" s="7"/>
      <c r="C23" s="5"/>
      <c r="D23" s="5"/>
      <c r="E23" s="5"/>
      <c r="F23" s="5"/>
      <c r="G23" s="5"/>
      <c r="H23" s="5"/>
      <c r="I23" s="5"/>
    </row>
    <row r="24" spans="1:9" ht="12.9" customHeight="1">
      <c r="A24" s="5"/>
      <c r="B24" s="4" t="s">
        <v>99</v>
      </c>
      <c r="C24" s="5"/>
      <c r="D24" s="5"/>
      <c r="E24" s="5"/>
      <c r="F24" s="5"/>
      <c r="G24" s="5"/>
      <c r="H24" s="5"/>
      <c r="I24" s="5"/>
    </row>
    <row r="25" spans="1:9" ht="26.1" customHeight="1">
      <c r="A25" s="5"/>
      <c r="B25" s="50" t="s">
        <v>100</v>
      </c>
      <c r="C25" s="50"/>
      <c r="D25" s="50"/>
      <c r="E25" s="50"/>
      <c r="F25" s="50"/>
      <c r="G25" s="50"/>
      <c r="H25" s="50"/>
      <c r="I25" s="50"/>
    </row>
    <row r="26" spans="1:9" ht="12.9" customHeight="1">
      <c r="A26" s="5"/>
      <c r="B26" s="50" t="s">
        <v>101</v>
      </c>
      <c r="C26" s="50"/>
      <c r="D26" s="50"/>
      <c r="E26" s="50"/>
      <c r="F26" s="50"/>
      <c r="G26" s="50"/>
      <c r="H26" s="50"/>
      <c r="I26" s="50"/>
    </row>
    <row r="27" spans="1:9" ht="12.9" customHeight="1">
      <c r="A27" s="5"/>
      <c r="B27" s="50"/>
      <c r="C27" s="50"/>
      <c r="D27" s="50"/>
      <c r="E27" s="50"/>
      <c r="F27" s="50"/>
      <c r="G27" s="50"/>
      <c r="H27" s="50"/>
      <c r="I27" s="50"/>
    </row>
    <row r="28" spans="1:9" ht="12.9" customHeight="1">
      <c r="A28" s="5"/>
      <c r="B28" s="50"/>
      <c r="C28" s="50"/>
      <c r="D28" s="50"/>
      <c r="E28" s="50"/>
      <c r="F28" s="50"/>
      <c r="G28" s="50"/>
      <c r="H28" s="50"/>
      <c r="I28" s="50"/>
    </row>
    <row r="29" spans="1:9" ht="12.9" customHeight="1">
      <c r="A29" s="5"/>
      <c r="B29" s="5"/>
      <c r="C29" s="51" t="s">
        <v>310</v>
      </c>
      <c r="D29" s="51"/>
      <c r="E29" s="51"/>
      <c r="F29" s="51"/>
      <c r="G29" s="5"/>
      <c r="H29" s="5"/>
      <c r="I29" s="5"/>
    </row>
    <row r="30" spans="1:9" ht="12.9" customHeight="1">
      <c r="A30" s="5"/>
      <c r="B30" s="38" t="s">
        <v>103</v>
      </c>
      <c r="C30" s="51" t="s">
        <v>104</v>
      </c>
      <c r="D30" s="51"/>
      <c r="E30" s="51"/>
      <c r="F30" s="51"/>
      <c r="G30" s="5"/>
      <c r="H30" s="5"/>
      <c r="I30" s="5"/>
    </row>
    <row r="31" spans="1:9" ht="135" customHeight="1">
      <c r="A31" s="5"/>
      <c r="B31" s="39"/>
      <c r="C31" s="52"/>
      <c r="D31" s="52"/>
      <c r="E31" s="5"/>
      <c r="F31" s="5"/>
      <c r="G31" s="5"/>
      <c r="H31" s="5"/>
      <c r="I31" s="5"/>
    </row>
  </sheetData>
  <mergeCells count="7">
    <mergeCell ref="B28:I28"/>
    <mergeCell ref="C29:F29"/>
    <mergeCell ref="C30:F30"/>
    <mergeCell ref="C31:D31"/>
    <mergeCell ref="B25:I25"/>
    <mergeCell ref="B26:I26"/>
    <mergeCell ref="B27:I27"/>
  </mergeCells>
  <hyperlinks>
    <hyperlink ref="A1" location="AxisIncomePlusArbitrageActiveFOF" display="AXISASD" xr:uid="{00000000-0004-0000-0400-000000000000}"/>
    <hyperlink ref="B1" location="AxisIncomePlusArbitrageActiveFOF" display="Axis Income Plus Arbitrage Active FOF" xr:uid="{00000000-0004-0000-0400-000001000000}"/>
  </hyperlinks>
  <pageMargins left="0" right="0" top="0" bottom="0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208"/>
  <sheetViews>
    <sheetView topLeftCell="A184" workbookViewId="0">
      <selection activeCell="B168" sqref="B168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10</v>
      </c>
      <c r="B1" s="4" t="s">
        <v>11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316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317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318</v>
      </c>
      <c r="B7" s="18" t="s">
        <v>319</v>
      </c>
      <c r="C7" s="14"/>
      <c r="D7" s="14"/>
      <c r="E7" s="40"/>
      <c r="F7" s="20">
        <v>-22.092500000000001</v>
      </c>
      <c r="G7" s="30" t="s">
        <v>95</v>
      </c>
      <c r="H7" s="30"/>
      <c r="I7" s="23"/>
    </row>
    <row r="8" spans="1:9" ht="12.9" customHeight="1">
      <c r="A8" s="17" t="s">
        <v>320</v>
      </c>
      <c r="B8" s="18" t="s">
        <v>321</v>
      </c>
      <c r="C8" s="14"/>
      <c r="D8" s="14"/>
      <c r="E8" s="40"/>
      <c r="F8" s="20">
        <v>-31.6</v>
      </c>
      <c r="G8" s="30" t="s">
        <v>95</v>
      </c>
      <c r="H8" s="30"/>
      <c r="I8" s="23"/>
    </row>
    <row r="9" spans="1:9" ht="12.9" customHeight="1">
      <c r="A9" s="17" t="s">
        <v>322</v>
      </c>
      <c r="B9" s="18" t="s">
        <v>323</v>
      </c>
      <c r="C9" s="14"/>
      <c r="D9" s="14"/>
      <c r="E9" s="40"/>
      <c r="F9" s="20">
        <v>-36.337499999999999</v>
      </c>
      <c r="G9" s="30" t="s">
        <v>95</v>
      </c>
      <c r="H9" s="30"/>
      <c r="I9" s="23"/>
    </row>
    <row r="10" spans="1:9" ht="12.9" customHeight="1">
      <c r="A10" s="17" t="s">
        <v>324</v>
      </c>
      <c r="B10" s="18" t="s">
        <v>325</v>
      </c>
      <c r="C10" s="14"/>
      <c r="D10" s="14"/>
      <c r="E10" s="40"/>
      <c r="F10" s="20">
        <v>-64.040000000000006</v>
      </c>
      <c r="G10" s="30" t="s">
        <v>95</v>
      </c>
      <c r="H10" s="30"/>
      <c r="I10" s="23"/>
    </row>
    <row r="11" spans="1:9" ht="12.9" customHeight="1">
      <c r="A11" s="5"/>
      <c r="B11" s="13" t="s">
        <v>88</v>
      </c>
      <c r="C11" s="14"/>
      <c r="D11" s="14"/>
      <c r="E11" s="14"/>
      <c r="F11" s="24">
        <v>-154.07</v>
      </c>
      <c r="G11" s="25">
        <v>-1E-4</v>
      </c>
      <c r="H11" s="26"/>
      <c r="I11" s="27"/>
    </row>
    <row r="12" spans="1:9" ht="12.9" customHeight="1">
      <c r="A12" s="5"/>
      <c r="B12" s="28" t="s">
        <v>91</v>
      </c>
      <c r="C12" s="29"/>
      <c r="D12" s="2"/>
      <c r="E12" s="29"/>
      <c r="F12" s="24">
        <v>-154.07</v>
      </c>
      <c r="G12" s="25">
        <v>-1E-4</v>
      </c>
      <c r="H12" s="26"/>
      <c r="I12" s="27"/>
    </row>
    <row r="13" spans="1:9" ht="12.9" customHeight="1">
      <c r="A13" s="5"/>
      <c r="B13" s="13" t="s">
        <v>79</v>
      </c>
      <c r="C13" s="14"/>
      <c r="D13" s="14"/>
      <c r="E13" s="14"/>
      <c r="F13" s="14"/>
      <c r="G13" s="14"/>
      <c r="H13" s="15"/>
      <c r="I13" s="16"/>
    </row>
    <row r="14" spans="1:9" ht="12.9" customHeight="1">
      <c r="A14" s="5"/>
      <c r="B14" s="13" t="s">
        <v>80</v>
      </c>
      <c r="C14" s="14"/>
      <c r="D14" s="14"/>
      <c r="E14" s="14"/>
      <c r="F14" s="5"/>
      <c r="G14" s="15"/>
      <c r="H14" s="15"/>
      <c r="I14" s="16"/>
    </row>
    <row r="15" spans="1:9" ht="12.9" customHeight="1">
      <c r="A15" s="17" t="s">
        <v>326</v>
      </c>
      <c r="B15" s="18" t="s">
        <v>327</v>
      </c>
      <c r="C15" s="14" t="s">
        <v>328</v>
      </c>
      <c r="D15" s="14" t="s">
        <v>109</v>
      </c>
      <c r="E15" s="19">
        <v>6790</v>
      </c>
      <c r="F15" s="20">
        <v>68023.917499999996</v>
      </c>
      <c r="G15" s="21">
        <v>4.9799999999999997E-2</v>
      </c>
      <c r="H15" s="22">
        <v>6.2100000000000002E-2</v>
      </c>
      <c r="I15" s="23"/>
    </row>
    <row r="16" spans="1:9" ht="12.9" customHeight="1">
      <c r="A16" s="17" t="s">
        <v>329</v>
      </c>
      <c r="B16" s="18" t="s">
        <v>330</v>
      </c>
      <c r="C16" s="14" t="s">
        <v>331</v>
      </c>
      <c r="D16" s="14" t="s">
        <v>84</v>
      </c>
      <c r="E16" s="19">
        <v>54000000</v>
      </c>
      <c r="F16" s="20">
        <v>54470.502</v>
      </c>
      <c r="G16" s="21">
        <v>3.9899999999999998E-2</v>
      </c>
      <c r="H16" s="22">
        <v>6.7664000000000002E-2</v>
      </c>
      <c r="I16" s="23"/>
    </row>
    <row r="17" spans="1:9" ht="12.9" customHeight="1">
      <c r="A17" s="17" t="s">
        <v>332</v>
      </c>
      <c r="B17" s="18" t="s">
        <v>333</v>
      </c>
      <c r="C17" s="14" t="s">
        <v>334</v>
      </c>
      <c r="D17" s="14" t="s">
        <v>84</v>
      </c>
      <c r="E17" s="19">
        <v>48000000</v>
      </c>
      <c r="F17" s="20">
        <v>49526.495999999999</v>
      </c>
      <c r="G17" s="21">
        <v>3.6200000000000003E-2</v>
      </c>
      <c r="H17" s="22">
        <v>6.7517999999999995E-2</v>
      </c>
      <c r="I17" s="23"/>
    </row>
    <row r="18" spans="1:9" ht="12.9" customHeight="1">
      <c r="A18" s="17" t="s">
        <v>335</v>
      </c>
      <c r="B18" s="18" t="s">
        <v>336</v>
      </c>
      <c r="C18" s="14" t="s">
        <v>337</v>
      </c>
      <c r="D18" s="14" t="s">
        <v>109</v>
      </c>
      <c r="E18" s="19">
        <v>47500</v>
      </c>
      <c r="F18" s="20">
        <v>48030.907500000001</v>
      </c>
      <c r="G18" s="21">
        <v>3.5200000000000002E-2</v>
      </c>
      <c r="H18" s="22">
        <v>6.88E-2</v>
      </c>
      <c r="I18" s="23"/>
    </row>
    <row r="19" spans="1:9" ht="12.9" customHeight="1">
      <c r="A19" s="17" t="s">
        <v>338</v>
      </c>
      <c r="B19" s="18" t="s">
        <v>339</v>
      </c>
      <c r="C19" s="14" t="s">
        <v>340</v>
      </c>
      <c r="D19" s="14" t="s">
        <v>109</v>
      </c>
      <c r="E19" s="19">
        <v>46500</v>
      </c>
      <c r="F19" s="20">
        <v>46951.561500000003</v>
      </c>
      <c r="G19" s="21">
        <v>3.44E-2</v>
      </c>
      <c r="H19" s="22">
        <v>6.8199999999999997E-2</v>
      </c>
      <c r="I19" s="23"/>
    </row>
    <row r="20" spans="1:9" ht="12.9" customHeight="1">
      <c r="A20" s="17" t="s">
        <v>110</v>
      </c>
      <c r="B20" s="18" t="s">
        <v>111</v>
      </c>
      <c r="C20" s="14" t="s">
        <v>112</v>
      </c>
      <c r="D20" s="14" t="s">
        <v>109</v>
      </c>
      <c r="E20" s="19">
        <v>44050</v>
      </c>
      <c r="F20" s="20">
        <v>44161.490599999997</v>
      </c>
      <c r="G20" s="21">
        <v>3.2300000000000002E-2</v>
      </c>
      <c r="H20" s="22">
        <v>6.5500000000000003E-2</v>
      </c>
      <c r="I20" s="23"/>
    </row>
    <row r="21" spans="1:9" ht="12.9" customHeight="1">
      <c r="A21" s="17" t="s">
        <v>341</v>
      </c>
      <c r="B21" s="18" t="s">
        <v>342</v>
      </c>
      <c r="C21" s="14" t="s">
        <v>343</v>
      </c>
      <c r="D21" s="14" t="s">
        <v>109</v>
      </c>
      <c r="E21" s="19">
        <v>39500</v>
      </c>
      <c r="F21" s="20">
        <v>39928.930500000002</v>
      </c>
      <c r="G21" s="21">
        <v>2.92E-2</v>
      </c>
      <c r="H21" s="22">
        <v>6.8699999999999997E-2</v>
      </c>
      <c r="I21" s="23"/>
    </row>
    <row r="22" spans="1:9" ht="12.9" customHeight="1">
      <c r="A22" s="17" t="s">
        <v>344</v>
      </c>
      <c r="B22" s="18" t="s">
        <v>345</v>
      </c>
      <c r="C22" s="14" t="s">
        <v>346</v>
      </c>
      <c r="D22" s="14" t="s">
        <v>109</v>
      </c>
      <c r="E22" s="19">
        <v>35000</v>
      </c>
      <c r="F22" s="20">
        <v>35354.375</v>
      </c>
      <c r="G22" s="21">
        <v>2.5899999999999999E-2</v>
      </c>
      <c r="H22" s="22">
        <v>6.9779999999999995E-2</v>
      </c>
      <c r="I22" s="23"/>
    </row>
    <row r="23" spans="1:9" ht="12.9" customHeight="1">
      <c r="A23" s="17" t="s">
        <v>347</v>
      </c>
      <c r="B23" s="18" t="s">
        <v>348</v>
      </c>
      <c r="C23" s="14" t="s">
        <v>349</v>
      </c>
      <c r="D23" s="14" t="s">
        <v>109</v>
      </c>
      <c r="E23" s="19">
        <v>25500</v>
      </c>
      <c r="F23" s="20">
        <v>25844.351999999999</v>
      </c>
      <c r="G23" s="21">
        <v>1.89E-2</v>
      </c>
      <c r="H23" s="22">
        <v>6.9044999999999995E-2</v>
      </c>
      <c r="I23" s="23"/>
    </row>
    <row r="24" spans="1:9" ht="12.9" customHeight="1">
      <c r="A24" s="17" t="s">
        <v>350</v>
      </c>
      <c r="B24" s="18" t="s">
        <v>351</v>
      </c>
      <c r="C24" s="14" t="s">
        <v>352</v>
      </c>
      <c r="D24" s="14" t="s">
        <v>353</v>
      </c>
      <c r="E24" s="19">
        <v>22500</v>
      </c>
      <c r="F24" s="20">
        <v>22107.15</v>
      </c>
      <c r="G24" s="21">
        <v>1.6199999999999999E-2</v>
      </c>
      <c r="H24" s="22">
        <v>7.145E-2</v>
      </c>
      <c r="I24" s="23"/>
    </row>
    <row r="25" spans="1:9" ht="12.9" customHeight="1">
      <c r="A25" s="17" t="s">
        <v>354</v>
      </c>
      <c r="B25" s="18" t="s">
        <v>355</v>
      </c>
      <c r="C25" s="14" t="s">
        <v>356</v>
      </c>
      <c r="D25" s="14" t="s">
        <v>109</v>
      </c>
      <c r="E25" s="19">
        <v>2150</v>
      </c>
      <c r="F25" s="20">
        <v>21418.923500000001</v>
      </c>
      <c r="G25" s="21">
        <v>1.5699999999999999E-2</v>
      </c>
      <c r="H25" s="22">
        <v>6.2659000000000006E-2</v>
      </c>
      <c r="I25" s="41">
        <v>8.2552564999999994E-2</v>
      </c>
    </row>
    <row r="26" spans="1:9" ht="12.9" customHeight="1">
      <c r="A26" s="17" t="s">
        <v>357</v>
      </c>
      <c r="B26" s="18" t="s">
        <v>358</v>
      </c>
      <c r="C26" s="14" t="s">
        <v>359</v>
      </c>
      <c r="D26" s="14" t="s">
        <v>109</v>
      </c>
      <c r="E26" s="19">
        <v>19500</v>
      </c>
      <c r="F26" s="20">
        <v>19592.0985</v>
      </c>
      <c r="G26" s="21">
        <v>1.43E-2</v>
      </c>
      <c r="H26" s="22">
        <v>7.0499999999999993E-2</v>
      </c>
      <c r="I26" s="41"/>
    </row>
    <row r="27" spans="1:9" ht="12.9" customHeight="1">
      <c r="A27" s="17" t="s">
        <v>360</v>
      </c>
      <c r="B27" s="18" t="s">
        <v>361</v>
      </c>
      <c r="C27" s="14" t="s">
        <v>362</v>
      </c>
      <c r="D27" s="14" t="s">
        <v>109</v>
      </c>
      <c r="E27" s="19">
        <v>18500</v>
      </c>
      <c r="F27" s="20">
        <v>19047.803500000002</v>
      </c>
      <c r="G27" s="21">
        <v>1.3899999999999999E-2</v>
      </c>
      <c r="H27" s="22">
        <v>7.1447999999999998E-2</v>
      </c>
      <c r="I27" s="41"/>
    </row>
    <row r="28" spans="1:9" ht="12.9" customHeight="1">
      <c r="A28" s="17" t="s">
        <v>363</v>
      </c>
      <c r="B28" s="18" t="s">
        <v>364</v>
      </c>
      <c r="C28" s="14" t="s">
        <v>365</v>
      </c>
      <c r="D28" s="14" t="s">
        <v>109</v>
      </c>
      <c r="E28" s="19">
        <v>18000</v>
      </c>
      <c r="F28" s="20">
        <v>18215.405999999999</v>
      </c>
      <c r="G28" s="21">
        <v>1.3299999999999999E-2</v>
      </c>
      <c r="H28" s="22">
        <v>6.9779999999999995E-2</v>
      </c>
      <c r="I28" s="41"/>
    </row>
    <row r="29" spans="1:9" ht="12.9" customHeight="1">
      <c r="A29" s="17" t="s">
        <v>366</v>
      </c>
      <c r="B29" s="18" t="s">
        <v>367</v>
      </c>
      <c r="C29" s="14" t="s">
        <v>368</v>
      </c>
      <c r="D29" s="14" t="s">
        <v>109</v>
      </c>
      <c r="E29" s="19">
        <v>17500</v>
      </c>
      <c r="F29" s="20">
        <v>17502.362499999999</v>
      </c>
      <c r="G29" s="21">
        <v>1.2800000000000001E-2</v>
      </c>
      <c r="H29" s="22">
        <v>7.2700000000000001E-2</v>
      </c>
      <c r="I29" s="41"/>
    </row>
    <row r="30" spans="1:9" ht="12.9" customHeight="1">
      <c r="A30" s="17" t="s">
        <v>369</v>
      </c>
      <c r="B30" s="18" t="s">
        <v>370</v>
      </c>
      <c r="C30" s="14" t="s">
        <v>371</v>
      </c>
      <c r="D30" s="14" t="s">
        <v>372</v>
      </c>
      <c r="E30" s="19">
        <v>17500</v>
      </c>
      <c r="F30" s="20">
        <v>17454.43</v>
      </c>
      <c r="G30" s="21">
        <v>1.2800000000000001E-2</v>
      </c>
      <c r="H30" s="22">
        <v>6.9500000000000006E-2</v>
      </c>
      <c r="I30" s="41"/>
    </row>
    <row r="31" spans="1:9" ht="12.9" customHeight="1">
      <c r="A31" s="17" t="s">
        <v>373</v>
      </c>
      <c r="B31" s="18" t="s">
        <v>374</v>
      </c>
      <c r="C31" s="14" t="s">
        <v>375</v>
      </c>
      <c r="D31" s="14" t="s">
        <v>372</v>
      </c>
      <c r="E31" s="19">
        <v>1650</v>
      </c>
      <c r="F31" s="20">
        <v>16514.849999999999</v>
      </c>
      <c r="G31" s="21">
        <v>1.21E-2</v>
      </c>
      <c r="H31" s="22">
        <v>6.3E-2</v>
      </c>
      <c r="I31" s="41"/>
    </row>
    <row r="32" spans="1:9" ht="12.9" customHeight="1">
      <c r="A32" s="17" t="s">
        <v>376</v>
      </c>
      <c r="B32" s="18" t="s">
        <v>377</v>
      </c>
      <c r="C32" s="14" t="s">
        <v>378</v>
      </c>
      <c r="D32" s="14" t="s">
        <v>109</v>
      </c>
      <c r="E32" s="19">
        <v>1500</v>
      </c>
      <c r="F32" s="20">
        <v>15260.37</v>
      </c>
      <c r="G32" s="21">
        <v>1.12E-2</v>
      </c>
      <c r="H32" s="22">
        <v>6.7400000000000002E-2</v>
      </c>
      <c r="I32" s="41"/>
    </row>
    <row r="33" spans="1:9" ht="12.9" customHeight="1">
      <c r="A33" s="17" t="s">
        <v>379</v>
      </c>
      <c r="B33" s="18" t="s">
        <v>380</v>
      </c>
      <c r="C33" s="14" t="s">
        <v>381</v>
      </c>
      <c r="D33" s="14" t="s">
        <v>109</v>
      </c>
      <c r="E33" s="19">
        <v>15000</v>
      </c>
      <c r="F33" s="20">
        <v>14899.89</v>
      </c>
      <c r="G33" s="21">
        <v>1.09E-2</v>
      </c>
      <c r="H33" s="22">
        <v>6.9180000000000005E-2</v>
      </c>
      <c r="I33" s="41"/>
    </row>
    <row r="34" spans="1:9" ht="12.9" customHeight="1">
      <c r="A34" s="17" t="s">
        <v>382</v>
      </c>
      <c r="B34" s="18" t="s">
        <v>383</v>
      </c>
      <c r="C34" s="14" t="s">
        <v>384</v>
      </c>
      <c r="D34" s="14" t="s">
        <v>109</v>
      </c>
      <c r="E34" s="19">
        <v>12500</v>
      </c>
      <c r="F34" s="20">
        <v>12679.75</v>
      </c>
      <c r="G34" s="21">
        <v>9.2999999999999992E-3</v>
      </c>
      <c r="H34" s="22">
        <v>6.88E-2</v>
      </c>
      <c r="I34" s="41"/>
    </row>
    <row r="35" spans="1:9" ht="12.9" customHeight="1">
      <c r="A35" s="17" t="s">
        <v>385</v>
      </c>
      <c r="B35" s="18" t="s">
        <v>386</v>
      </c>
      <c r="C35" s="14" t="s">
        <v>387</v>
      </c>
      <c r="D35" s="14" t="s">
        <v>372</v>
      </c>
      <c r="E35" s="19">
        <v>12500</v>
      </c>
      <c r="F35" s="20">
        <v>12661.85</v>
      </c>
      <c r="G35" s="21">
        <v>9.2999999999999992E-3</v>
      </c>
      <c r="H35" s="22">
        <v>6.8699999999999997E-2</v>
      </c>
      <c r="I35" s="41"/>
    </row>
    <row r="36" spans="1:9" ht="12.9" customHeight="1">
      <c r="A36" s="17" t="s">
        <v>388</v>
      </c>
      <c r="B36" s="18" t="s">
        <v>389</v>
      </c>
      <c r="C36" s="14" t="s">
        <v>390</v>
      </c>
      <c r="D36" s="14" t="s">
        <v>109</v>
      </c>
      <c r="E36" s="19">
        <v>12500</v>
      </c>
      <c r="F36" s="20">
        <v>12661.725</v>
      </c>
      <c r="G36" s="21">
        <v>9.2999999999999992E-3</v>
      </c>
      <c r="H36" s="22">
        <v>6.8349999999999994E-2</v>
      </c>
      <c r="I36" s="41"/>
    </row>
    <row r="37" spans="1:9" ht="12.9" customHeight="1">
      <c r="A37" s="17" t="s">
        <v>391</v>
      </c>
      <c r="B37" s="18" t="s">
        <v>392</v>
      </c>
      <c r="C37" s="14" t="s">
        <v>393</v>
      </c>
      <c r="D37" s="14" t="s">
        <v>109</v>
      </c>
      <c r="E37" s="19">
        <v>12500</v>
      </c>
      <c r="F37" s="20">
        <v>12645.5875</v>
      </c>
      <c r="G37" s="21">
        <v>9.2999999999999992E-3</v>
      </c>
      <c r="H37" s="22">
        <v>6.7599999999999993E-2</v>
      </c>
      <c r="I37" s="41"/>
    </row>
    <row r="38" spans="1:9" ht="12.9" customHeight="1">
      <c r="A38" s="17" t="s">
        <v>394</v>
      </c>
      <c r="B38" s="18" t="s">
        <v>395</v>
      </c>
      <c r="C38" s="14" t="s">
        <v>396</v>
      </c>
      <c r="D38" s="14" t="s">
        <v>109</v>
      </c>
      <c r="E38" s="19">
        <v>12500</v>
      </c>
      <c r="F38" s="20">
        <v>12520.45</v>
      </c>
      <c r="G38" s="21">
        <v>9.1999999999999998E-3</v>
      </c>
      <c r="H38" s="22">
        <v>7.0499999999999993E-2</v>
      </c>
      <c r="I38" s="41"/>
    </row>
    <row r="39" spans="1:9" ht="12.9" customHeight="1">
      <c r="A39" s="17" t="s">
        <v>397</v>
      </c>
      <c r="B39" s="18" t="s">
        <v>398</v>
      </c>
      <c r="C39" s="14" t="s">
        <v>399</v>
      </c>
      <c r="D39" s="14" t="s">
        <v>109</v>
      </c>
      <c r="E39" s="19">
        <v>12500</v>
      </c>
      <c r="F39" s="20">
        <v>12502.362499999999</v>
      </c>
      <c r="G39" s="21">
        <v>9.1000000000000004E-3</v>
      </c>
      <c r="H39" s="22">
        <v>7.0699999999999999E-2</v>
      </c>
      <c r="I39" s="41"/>
    </row>
    <row r="40" spans="1:9" ht="12.9" customHeight="1">
      <c r="A40" s="17" t="s">
        <v>400</v>
      </c>
      <c r="B40" s="18" t="s">
        <v>401</v>
      </c>
      <c r="C40" s="14" t="s">
        <v>402</v>
      </c>
      <c r="D40" s="14" t="s">
        <v>372</v>
      </c>
      <c r="E40" s="19">
        <v>12500</v>
      </c>
      <c r="F40" s="20">
        <v>12453.9625</v>
      </c>
      <c r="G40" s="21">
        <v>9.1000000000000004E-3</v>
      </c>
      <c r="H40" s="22">
        <v>6.8199999999999997E-2</v>
      </c>
      <c r="I40" s="41"/>
    </row>
    <row r="41" spans="1:9" ht="12.9" customHeight="1">
      <c r="A41" s="17" t="s">
        <v>403</v>
      </c>
      <c r="B41" s="18" t="s">
        <v>404</v>
      </c>
      <c r="C41" s="14" t="s">
        <v>405</v>
      </c>
      <c r="D41" s="14" t="s">
        <v>109</v>
      </c>
      <c r="E41" s="19">
        <v>1250</v>
      </c>
      <c r="F41" s="20">
        <v>12429.637500000001</v>
      </c>
      <c r="G41" s="21">
        <v>9.1000000000000004E-3</v>
      </c>
      <c r="H41" s="22">
        <v>7.0400000000000004E-2</v>
      </c>
      <c r="I41" s="41"/>
    </row>
    <row r="42" spans="1:9" ht="12.9" customHeight="1">
      <c r="A42" s="17" t="s">
        <v>406</v>
      </c>
      <c r="B42" s="18" t="s">
        <v>407</v>
      </c>
      <c r="C42" s="14" t="s">
        <v>408</v>
      </c>
      <c r="D42" s="14" t="s">
        <v>84</v>
      </c>
      <c r="E42" s="19">
        <v>10500000</v>
      </c>
      <c r="F42" s="20">
        <v>10866.7965</v>
      </c>
      <c r="G42" s="21">
        <v>8.0000000000000002E-3</v>
      </c>
      <c r="H42" s="22">
        <v>6.7457000000000003E-2</v>
      </c>
      <c r="I42" s="41"/>
    </row>
    <row r="43" spans="1:9" ht="12.9" customHeight="1">
      <c r="A43" s="17" t="s">
        <v>409</v>
      </c>
      <c r="B43" s="18" t="s">
        <v>410</v>
      </c>
      <c r="C43" s="14" t="s">
        <v>411</v>
      </c>
      <c r="D43" s="14" t="s">
        <v>372</v>
      </c>
      <c r="E43" s="19">
        <v>10100</v>
      </c>
      <c r="F43" s="20">
        <v>10236.6631</v>
      </c>
      <c r="G43" s="21">
        <v>7.4999999999999997E-3</v>
      </c>
      <c r="H43" s="22">
        <v>6.8449999999999997E-2</v>
      </c>
      <c r="I43" s="41"/>
    </row>
    <row r="44" spans="1:9" ht="12.9" customHeight="1">
      <c r="A44" s="17" t="s">
        <v>412</v>
      </c>
      <c r="B44" s="18" t="s">
        <v>413</v>
      </c>
      <c r="C44" s="14" t="s">
        <v>414</v>
      </c>
      <c r="D44" s="14" t="s">
        <v>109</v>
      </c>
      <c r="E44" s="19">
        <v>10000</v>
      </c>
      <c r="F44" s="20">
        <v>10218.64</v>
      </c>
      <c r="G44" s="21">
        <v>7.4999999999999997E-3</v>
      </c>
      <c r="H44" s="22">
        <v>7.4149999999999994E-2</v>
      </c>
      <c r="I44" s="41"/>
    </row>
    <row r="45" spans="1:9" ht="12.9" customHeight="1">
      <c r="A45" s="17" t="s">
        <v>415</v>
      </c>
      <c r="B45" s="18" t="s">
        <v>416</v>
      </c>
      <c r="C45" s="14" t="s">
        <v>417</v>
      </c>
      <c r="D45" s="14" t="s">
        <v>109</v>
      </c>
      <c r="E45" s="19">
        <v>10000</v>
      </c>
      <c r="F45" s="20">
        <v>10147.41</v>
      </c>
      <c r="G45" s="21">
        <v>7.4000000000000003E-3</v>
      </c>
      <c r="H45" s="22">
        <v>6.9779999999999995E-2</v>
      </c>
      <c r="I45" s="41"/>
    </row>
    <row r="46" spans="1:9" ht="12.9" customHeight="1">
      <c r="A46" s="17" t="s">
        <v>418</v>
      </c>
      <c r="B46" s="18" t="s">
        <v>419</v>
      </c>
      <c r="C46" s="14" t="s">
        <v>420</v>
      </c>
      <c r="D46" s="14" t="s">
        <v>109</v>
      </c>
      <c r="E46" s="19">
        <v>10000</v>
      </c>
      <c r="F46" s="20">
        <v>10128.290000000001</v>
      </c>
      <c r="G46" s="21">
        <v>7.4000000000000003E-3</v>
      </c>
      <c r="H46" s="22">
        <v>6.8349999999999994E-2</v>
      </c>
      <c r="I46" s="41"/>
    </row>
    <row r="47" spans="1:9" ht="12.9" customHeight="1">
      <c r="A47" s="17" t="s">
        <v>421</v>
      </c>
      <c r="B47" s="18" t="s">
        <v>422</v>
      </c>
      <c r="C47" s="14" t="s">
        <v>423</v>
      </c>
      <c r="D47" s="14" t="s">
        <v>109</v>
      </c>
      <c r="E47" s="19">
        <v>1000</v>
      </c>
      <c r="F47" s="20">
        <v>10122.19</v>
      </c>
      <c r="G47" s="21">
        <v>7.4000000000000003E-3</v>
      </c>
      <c r="H47" s="22">
        <v>7.2800000000000004E-2</v>
      </c>
      <c r="I47" s="41"/>
    </row>
    <row r="48" spans="1:9" ht="12.9" customHeight="1">
      <c r="A48" s="17" t="s">
        <v>424</v>
      </c>
      <c r="B48" s="18" t="s">
        <v>425</v>
      </c>
      <c r="C48" s="14" t="s">
        <v>426</v>
      </c>
      <c r="D48" s="14" t="s">
        <v>353</v>
      </c>
      <c r="E48" s="19">
        <v>10000</v>
      </c>
      <c r="F48" s="20">
        <v>10095.98</v>
      </c>
      <c r="G48" s="21">
        <v>7.4000000000000003E-3</v>
      </c>
      <c r="H48" s="22">
        <v>7.145E-2</v>
      </c>
      <c r="I48" s="41"/>
    </row>
    <row r="49" spans="1:9" ht="12.9" customHeight="1">
      <c r="A49" s="17" t="s">
        <v>427</v>
      </c>
      <c r="B49" s="18" t="s">
        <v>428</v>
      </c>
      <c r="C49" s="14" t="s">
        <v>429</v>
      </c>
      <c r="D49" s="14" t="s">
        <v>109</v>
      </c>
      <c r="E49" s="19">
        <v>10000</v>
      </c>
      <c r="F49" s="20">
        <v>10067.870000000001</v>
      </c>
      <c r="G49" s="21">
        <v>7.4000000000000003E-3</v>
      </c>
      <c r="H49" s="22">
        <v>7.3099999999999998E-2</v>
      </c>
      <c r="I49" s="41"/>
    </row>
    <row r="50" spans="1:9" ht="12.9" customHeight="1">
      <c r="A50" s="17" t="s">
        <v>430</v>
      </c>
      <c r="B50" s="18" t="s">
        <v>431</v>
      </c>
      <c r="C50" s="14" t="s">
        <v>432</v>
      </c>
      <c r="D50" s="14" t="s">
        <v>109</v>
      </c>
      <c r="E50" s="19">
        <v>10000</v>
      </c>
      <c r="F50" s="20">
        <v>10040.66</v>
      </c>
      <c r="G50" s="21">
        <v>7.3000000000000001E-3</v>
      </c>
      <c r="H50" s="22">
        <v>7.3907E-2</v>
      </c>
      <c r="I50" s="41"/>
    </row>
    <row r="51" spans="1:9" ht="12.9" customHeight="1">
      <c r="A51" s="17" t="s">
        <v>433</v>
      </c>
      <c r="B51" s="18" t="s">
        <v>434</v>
      </c>
      <c r="C51" s="14" t="s">
        <v>435</v>
      </c>
      <c r="D51" s="14" t="s">
        <v>109</v>
      </c>
      <c r="E51" s="19">
        <v>950</v>
      </c>
      <c r="F51" s="20">
        <v>9727.6294999999991</v>
      </c>
      <c r="G51" s="21">
        <v>7.1000000000000004E-3</v>
      </c>
      <c r="H51" s="22">
        <v>7.0400000000000004E-2</v>
      </c>
      <c r="I51" s="41"/>
    </row>
    <row r="52" spans="1:9" ht="12.9" customHeight="1">
      <c r="A52" s="17" t="s">
        <v>436</v>
      </c>
      <c r="B52" s="18" t="s">
        <v>437</v>
      </c>
      <c r="C52" s="14" t="s">
        <v>438</v>
      </c>
      <c r="D52" s="14" t="s">
        <v>109</v>
      </c>
      <c r="E52" s="19">
        <v>900</v>
      </c>
      <c r="F52" s="20">
        <v>9332.1360000000004</v>
      </c>
      <c r="G52" s="21">
        <v>6.7999999999999996E-3</v>
      </c>
      <c r="H52" s="22">
        <v>6.9400000000000003E-2</v>
      </c>
      <c r="I52" s="41"/>
    </row>
    <row r="53" spans="1:9" ht="12.9" customHeight="1">
      <c r="A53" s="17" t="s">
        <v>439</v>
      </c>
      <c r="B53" s="18" t="s">
        <v>440</v>
      </c>
      <c r="C53" s="14" t="s">
        <v>441</v>
      </c>
      <c r="D53" s="14" t="s">
        <v>109</v>
      </c>
      <c r="E53" s="19">
        <v>9000</v>
      </c>
      <c r="F53" s="20">
        <v>9130.9950000000008</v>
      </c>
      <c r="G53" s="21">
        <v>6.7000000000000002E-3</v>
      </c>
      <c r="H53" s="22">
        <v>6.7349999999999993E-2</v>
      </c>
      <c r="I53" s="41"/>
    </row>
    <row r="54" spans="1:9" ht="12.9" customHeight="1">
      <c r="A54" s="17" t="s">
        <v>442</v>
      </c>
      <c r="B54" s="18" t="s">
        <v>443</v>
      </c>
      <c r="C54" s="14" t="s">
        <v>444</v>
      </c>
      <c r="D54" s="14" t="s">
        <v>372</v>
      </c>
      <c r="E54" s="19">
        <v>8500</v>
      </c>
      <c r="F54" s="20">
        <v>8689.8474999999999</v>
      </c>
      <c r="G54" s="21">
        <v>6.4000000000000003E-3</v>
      </c>
      <c r="H54" s="22">
        <v>6.9750000000000006E-2</v>
      </c>
      <c r="I54" s="41"/>
    </row>
    <row r="55" spans="1:9" ht="12.9" customHeight="1">
      <c r="A55" s="17" t="s">
        <v>106</v>
      </c>
      <c r="B55" s="18" t="s">
        <v>107</v>
      </c>
      <c r="C55" s="14" t="s">
        <v>108</v>
      </c>
      <c r="D55" s="14" t="s">
        <v>109</v>
      </c>
      <c r="E55" s="19">
        <v>7600</v>
      </c>
      <c r="F55" s="20">
        <v>7612.2587999999996</v>
      </c>
      <c r="G55" s="21">
        <v>5.5999999999999999E-3</v>
      </c>
      <c r="H55" s="22">
        <v>6.4597000000000002E-2</v>
      </c>
      <c r="I55" s="41"/>
    </row>
    <row r="56" spans="1:9" ht="12.9" customHeight="1">
      <c r="A56" s="17" t="s">
        <v>445</v>
      </c>
      <c r="B56" s="18" t="s">
        <v>446</v>
      </c>
      <c r="C56" s="14" t="s">
        <v>447</v>
      </c>
      <c r="D56" s="14" t="s">
        <v>109</v>
      </c>
      <c r="E56" s="19">
        <v>7500</v>
      </c>
      <c r="F56" s="20">
        <v>7601.31</v>
      </c>
      <c r="G56" s="21">
        <v>5.5999999999999999E-3</v>
      </c>
      <c r="H56" s="22">
        <v>6.8349999999999994E-2</v>
      </c>
      <c r="I56" s="41"/>
    </row>
    <row r="57" spans="1:9" ht="12.9" customHeight="1">
      <c r="A57" s="17" t="s">
        <v>448</v>
      </c>
      <c r="B57" s="18" t="s">
        <v>449</v>
      </c>
      <c r="C57" s="14" t="s">
        <v>450</v>
      </c>
      <c r="D57" s="14" t="s">
        <v>109</v>
      </c>
      <c r="E57" s="19">
        <v>7500</v>
      </c>
      <c r="F57" s="20">
        <v>7599.9975000000004</v>
      </c>
      <c r="G57" s="21">
        <v>5.5999999999999999E-3</v>
      </c>
      <c r="H57" s="22">
        <v>7.0150000000000004E-2</v>
      </c>
      <c r="I57" s="41"/>
    </row>
    <row r="58" spans="1:9" ht="12.9" customHeight="1">
      <c r="A58" s="17" t="s">
        <v>451</v>
      </c>
      <c r="B58" s="18" t="s">
        <v>452</v>
      </c>
      <c r="C58" s="14" t="s">
        <v>453</v>
      </c>
      <c r="D58" s="14" t="s">
        <v>109</v>
      </c>
      <c r="E58" s="19">
        <v>7500</v>
      </c>
      <c r="F58" s="20">
        <v>7592.13</v>
      </c>
      <c r="G58" s="21">
        <v>5.5999999999999999E-3</v>
      </c>
      <c r="H58" s="22">
        <v>6.7949999999999997E-2</v>
      </c>
      <c r="I58" s="41"/>
    </row>
    <row r="59" spans="1:9" ht="12.9" customHeight="1">
      <c r="A59" s="17" t="s">
        <v>454</v>
      </c>
      <c r="B59" s="18" t="s">
        <v>455</v>
      </c>
      <c r="C59" s="14" t="s">
        <v>456</v>
      </c>
      <c r="D59" s="14" t="s">
        <v>84</v>
      </c>
      <c r="E59" s="19">
        <v>7500000</v>
      </c>
      <c r="F59" s="20">
        <v>7584.0749999999998</v>
      </c>
      <c r="G59" s="21">
        <v>5.5999999999999999E-3</v>
      </c>
      <c r="H59" s="22">
        <v>6.8420999999999996E-2</v>
      </c>
      <c r="I59" s="41"/>
    </row>
    <row r="60" spans="1:9" ht="12.9" customHeight="1">
      <c r="A60" s="17" t="s">
        <v>457</v>
      </c>
      <c r="B60" s="18" t="s">
        <v>458</v>
      </c>
      <c r="C60" s="14" t="s">
        <v>459</v>
      </c>
      <c r="D60" s="14" t="s">
        <v>109</v>
      </c>
      <c r="E60" s="19">
        <v>7500</v>
      </c>
      <c r="F60" s="20">
        <v>7551.585</v>
      </c>
      <c r="G60" s="21">
        <v>5.4999999999999997E-3</v>
      </c>
      <c r="H60" s="22">
        <v>7.1197999999999997E-2</v>
      </c>
      <c r="I60" s="41"/>
    </row>
    <row r="61" spans="1:9" ht="12.9" customHeight="1">
      <c r="A61" s="17" t="s">
        <v>460</v>
      </c>
      <c r="B61" s="18" t="s">
        <v>461</v>
      </c>
      <c r="C61" s="14" t="s">
        <v>462</v>
      </c>
      <c r="D61" s="14" t="s">
        <v>109</v>
      </c>
      <c r="E61" s="19">
        <v>7500</v>
      </c>
      <c r="F61" s="20">
        <v>7527.75</v>
      </c>
      <c r="G61" s="21">
        <v>5.4999999999999997E-3</v>
      </c>
      <c r="H61" s="22">
        <v>6.7000000000000004E-2</v>
      </c>
      <c r="I61" s="41"/>
    </row>
    <row r="62" spans="1:9" ht="12.9" customHeight="1">
      <c r="A62" s="17" t="s">
        <v>463</v>
      </c>
      <c r="B62" s="18" t="s">
        <v>464</v>
      </c>
      <c r="C62" s="14" t="s">
        <v>465</v>
      </c>
      <c r="D62" s="14" t="s">
        <v>109</v>
      </c>
      <c r="E62" s="19">
        <v>7500</v>
      </c>
      <c r="F62" s="20">
        <v>7430.1674999999996</v>
      </c>
      <c r="G62" s="21">
        <v>5.4000000000000003E-3</v>
      </c>
      <c r="H62" s="22">
        <v>7.0749999999999993E-2</v>
      </c>
      <c r="I62" s="41"/>
    </row>
    <row r="63" spans="1:9" ht="12.9" customHeight="1">
      <c r="A63" s="17" t="s">
        <v>466</v>
      </c>
      <c r="B63" s="18" t="s">
        <v>467</v>
      </c>
      <c r="C63" s="14" t="s">
        <v>468</v>
      </c>
      <c r="D63" s="14" t="s">
        <v>372</v>
      </c>
      <c r="E63" s="19">
        <v>7000</v>
      </c>
      <c r="F63" s="20">
        <v>7068.607</v>
      </c>
      <c r="G63" s="21">
        <v>5.1999999999999998E-3</v>
      </c>
      <c r="H63" s="22">
        <v>6.8199999999999997E-2</v>
      </c>
      <c r="I63" s="41"/>
    </row>
    <row r="64" spans="1:9" ht="12.9" customHeight="1">
      <c r="A64" s="17" t="s">
        <v>469</v>
      </c>
      <c r="B64" s="18" t="s">
        <v>470</v>
      </c>
      <c r="C64" s="14" t="s">
        <v>471</v>
      </c>
      <c r="D64" s="14" t="s">
        <v>109</v>
      </c>
      <c r="E64" s="19">
        <v>680</v>
      </c>
      <c r="F64" s="20">
        <v>6870.0468000000001</v>
      </c>
      <c r="G64" s="21">
        <v>5.0000000000000001E-3</v>
      </c>
      <c r="H64" s="22">
        <v>7.0699999999999999E-2</v>
      </c>
      <c r="I64" s="41"/>
    </row>
    <row r="65" spans="1:9" ht="12.9" customHeight="1">
      <c r="A65" s="17" t="s">
        <v>472</v>
      </c>
      <c r="B65" s="18" t="s">
        <v>473</v>
      </c>
      <c r="C65" s="14" t="s">
        <v>474</v>
      </c>
      <c r="D65" s="14" t="s">
        <v>109</v>
      </c>
      <c r="E65" s="19">
        <v>600</v>
      </c>
      <c r="F65" s="20">
        <v>6083.442</v>
      </c>
      <c r="G65" s="21">
        <v>4.4999999999999997E-3</v>
      </c>
      <c r="H65" s="22">
        <v>7.4467000000000005E-2</v>
      </c>
      <c r="I65" s="41"/>
    </row>
    <row r="66" spans="1:9" ht="12.9" customHeight="1">
      <c r="A66" s="17" t="s">
        <v>475</v>
      </c>
      <c r="B66" s="18" t="s">
        <v>476</v>
      </c>
      <c r="C66" s="14" t="s">
        <v>477</v>
      </c>
      <c r="D66" s="14" t="s">
        <v>109</v>
      </c>
      <c r="E66" s="19">
        <v>6000</v>
      </c>
      <c r="F66" s="20">
        <v>6063.6239999999998</v>
      </c>
      <c r="G66" s="21">
        <v>4.4000000000000003E-3</v>
      </c>
      <c r="H66" s="22">
        <v>7.1999999999999995E-2</v>
      </c>
      <c r="I66" s="41"/>
    </row>
    <row r="67" spans="1:9" ht="12.9" customHeight="1">
      <c r="A67" s="17" t="s">
        <v>478</v>
      </c>
      <c r="B67" s="18" t="s">
        <v>479</v>
      </c>
      <c r="C67" s="14" t="s">
        <v>480</v>
      </c>
      <c r="D67" s="14" t="s">
        <v>109</v>
      </c>
      <c r="E67" s="19">
        <v>436</v>
      </c>
      <c r="F67" s="20">
        <v>5565.152</v>
      </c>
      <c r="G67" s="21">
        <v>4.1000000000000003E-3</v>
      </c>
      <c r="H67" s="22">
        <v>7.4496999999999994E-2</v>
      </c>
      <c r="I67" s="41"/>
    </row>
    <row r="68" spans="1:9" ht="12.9" customHeight="1">
      <c r="A68" s="17" t="s">
        <v>481</v>
      </c>
      <c r="B68" s="18" t="s">
        <v>482</v>
      </c>
      <c r="C68" s="14" t="s">
        <v>483</v>
      </c>
      <c r="D68" s="14" t="s">
        <v>372</v>
      </c>
      <c r="E68" s="19">
        <v>5500</v>
      </c>
      <c r="F68" s="20">
        <v>5560.7254999999996</v>
      </c>
      <c r="G68" s="21">
        <v>4.1000000000000003E-3</v>
      </c>
      <c r="H68" s="22">
        <v>6.8199999999999997E-2</v>
      </c>
      <c r="I68" s="41"/>
    </row>
    <row r="69" spans="1:9" ht="12.9" customHeight="1">
      <c r="A69" s="17" t="s">
        <v>484</v>
      </c>
      <c r="B69" s="18" t="s">
        <v>485</v>
      </c>
      <c r="C69" s="14" t="s">
        <v>486</v>
      </c>
      <c r="D69" s="14" t="s">
        <v>109</v>
      </c>
      <c r="E69" s="19">
        <v>5000</v>
      </c>
      <c r="F69" s="20">
        <v>5110.29</v>
      </c>
      <c r="G69" s="21">
        <v>3.7000000000000002E-3</v>
      </c>
      <c r="H69" s="22">
        <v>7.2283E-2</v>
      </c>
      <c r="I69" s="41"/>
    </row>
    <row r="70" spans="1:9" ht="12.9" customHeight="1">
      <c r="A70" s="17" t="s">
        <v>487</v>
      </c>
      <c r="B70" s="18" t="s">
        <v>488</v>
      </c>
      <c r="C70" s="14" t="s">
        <v>489</v>
      </c>
      <c r="D70" s="14" t="s">
        <v>109</v>
      </c>
      <c r="E70" s="19">
        <v>500</v>
      </c>
      <c r="F70" s="20">
        <v>5098.79</v>
      </c>
      <c r="G70" s="21">
        <v>3.7000000000000002E-3</v>
      </c>
      <c r="H70" s="22">
        <v>7.3907E-2</v>
      </c>
      <c r="I70" s="41"/>
    </row>
    <row r="71" spans="1:9" ht="12.9" customHeight="1">
      <c r="A71" s="17" t="s">
        <v>490</v>
      </c>
      <c r="B71" s="18" t="s">
        <v>491</v>
      </c>
      <c r="C71" s="14" t="s">
        <v>492</v>
      </c>
      <c r="D71" s="14" t="s">
        <v>109</v>
      </c>
      <c r="E71" s="19">
        <v>5000</v>
      </c>
      <c r="F71" s="20">
        <v>5095.3050000000003</v>
      </c>
      <c r="G71" s="21">
        <v>3.7000000000000002E-3</v>
      </c>
      <c r="H71" s="22">
        <v>6.9500000000000006E-2</v>
      </c>
      <c r="I71" s="41"/>
    </row>
    <row r="72" spans="1:9" ht="12.9" customHeight="1">
      <c r="A72" s="17" t="s">
        <v>493</v>
      </c>
      <c r="B72" s="18" t="s">
        <v>494</v>
      </c>
      <c r="C72" s="14" t="s">
        <v>495</v>
      </c>
      <c r="D72" s="14" t="s">
        <v>109</v>
      </c>
      <c r="E72" s="19">
        <v>500</v>
      </c>
      <c r="F72" s="20">
        <v>5080.66</v>
      </c>
      <c r="G72" s="21">
        <v>3.7000000000000002E-3</v>
      </c>
      <c r="H72" s="22">
        <v>7.22E-2</v>
      </c>
      <c r="I72" s="41"/>
    </row>
    <row r="73" spans="1:9" ht="12.9" customHeight="1">
      <c r="A73" s="17" t="s">
        <v>496</v>
      </c>
      <c r="B73" s="18" t="s">
        <v>497</v>
      </c>
      <c r="C73" s="14" t="s">
        <v>498</v>
      </c>
      <c r="D73" s="14" t="s">
        <v>109</v>
      </c>
      <c r="E73" s="19">
        <v>500</v>
      </c>
      <c r="F73" s="20">
        <v>5076.2150000000001</v>
      </c>
      <c r="G73" s="21">
        <v>3.7000000000000002E-3</v>
      </c>
      <c r="H73" s="22">
        <v>7.0900000000000005E-2</v>
      </c>
      <c r="I73" s="41"/>
    </row>
    <row r="74" spans="1:9" ht="12.9" customHeight="1">
      <c r="A74" s="17" t="s">
        <v>499</v>
      </c>
      <c r="B74" s="18" t="s">
        <v>500</v>
      </c>
      <c r="C74" s="14" t="s">
        <v>501</v>
      </c>
      <c r="D74" s="14" t="s">
        <v>109</v>
      </c>
      <c r="E74" s="19">
        <v>5000</v>
      </c>
      <c r="F74" s="20">
        <v>5076.09</v>
      </c>
      <c r="G74" s="21">
        <v>3.7000000000000002E-3</v>
      </c>
      <c r="H74" s="22">
        <v>7.3649999999999993E-2</v>
      </c>
      <c r="I74" s="41"/>
    </row>
    <row r="75" spans="1:9" ht="12.9" customHeight="1">
      <c r="A75" s="17" t="s">
        <v>502</v>
      </c>
      <c r="B75" s="18" t="s">
        <v>503</v>
      </c>
      <c r="C75" s="14" t="s">
        <v>504</v>
      </c>
      <c r="D75" s="14" t="s">
        <v>109</v>
      </c>
      <c r="E75" s="19">
        <v>5000</v>
      </c>
      <c r="F75" s="20">
        <v>5074.1000000000004</v>
      </c>
      <c r="G75" s="21">
        <v>3.7000000000000002E-3</v>
      </c>
      <c r="H75" s="22">
        <v>6.7375000000000004E-2</v>
      </c>
      <c r="I75" s="41"/>
    </row>
    <row r="76" spans="1:9" ht="12.9" customHeight="1">
      <c r="A76" s="17" t="s">
        <v>505</v>
      </c>
      <c r="B76" s="18" t="s">
        <v>506</v>
      </c>
      <c r="C76" s="14" t="s">
        <v>507</v>
      </c>
      <c r="D76" s="14" t="s">
        <v>109</v>
      </c>
      <c r="E76" s="19">
        <v>5000</v>
      </c>
      <c r="F76" s="20">
        <v>5066.1549999999997</v>
      </c>
      <c r="G76" s="21">
        <v>3.7000000000000002E-3</v>
      </c>
      <c r="H76" s="22">
        <v>7.22E-2</v>
      </c>
      <c r="I76" s="41"/>
    </row>
    <row r="77" spans="1:9" ht="12.9" customHeight="1">
      <c r="A77" s="17" t="s">
        <v>508</v>
      </c>
      <c r="B77" s="18" t="s">
        <v>509</v>
      </c>
      <c r="C77" s="14" t="s">
        <v>510</v>
      </c>
      <c r="D77" s="14" t="s">
        <v>109</v>
      </c>
      <c r="E77" s="19">
        <v>5000</v>
      </c>
      <c r="F77" s="20">
        <v>5060.2650000000003</v>
      </c>
      <c r="G77" s="21">
        <v>3.7000000000000002E-3</v>
      </c>
      <c r="H77" s="22">
        <v>7.2700000000000001E-2</v>
      </c>
      <c r="I77" s="41"/>
    </row>
    <row r="78" spans="1:9" ht="12.9" customHeight="1">
      <c r="A78" s="17" t="s">
        <v>511</v>
      </c>
      <c r="B78" s="18" t="s">
        <v>512</v>
      </c>
      <c r="C78" s="14" t="s">
        <v>513</v>
      </c>
      <c r="D78" s="14" t="s">
        <v>109</v>
      </c>
      <c r="E78" s="19">
        <v>500</v>
      </c>
      <c r="F78" s="20">
        <v>5050.915</v>
      </c>
      <c r="G78" s="21">
        <v>3.7000000000000002E-3</v>
      </c>
      <c r="H78" s="22">
        <v>7.4482999999999994E-2</v>
      </c>
      <c r="I78" s="41"/>
    </row>
    <row r="79" spans="1:9" ht="12.9" customHeight="1">
      <c r="A79" s="17" t="s">
        <v>514</v>
      </c>
      <c r="B79" s="18" t="s">
        <v>515</v>
      </c>
      <c r="C79" s="14" t="s">
        <v>516</v>
      </c>
      <c r="D79" s="14" t="s">
        <v>109</v>
      </c>
      <c r="E79" s="19">
        <v>5000</v>
      </c>
      <c r="F79" s="20">
        <v>5047.2700000000004</v>
      </c>
      <c r="G79" s="21">
        <v>3.7000000000000002E-3</v>
      </c>
      <c r="H79" s="22">
        <v>7.2499999999999995E-2</v>
      </c>
      <c r="I79" s="41"/>
    </row>
    <row r="80" spans="1:9" ht="12.9" customHeight="1">
      <c r="A80" s="17" t="s">
        <v>517</v>
      </c>
      <c r="B80" s="18" t="s">
        <v>518</v>
      </c>
      <c r="C80" s="14" t="s">
        <v>519</v>
      </c>
      <c r="D80" s="14" t="s">
        <v>109</v>
      </c>
      <c r="E80" s="19">
        <v>5000</v>
      </c>
      <c r="F80" s="20">
        <v>5043.5550000000003</v>
      </c>
      <c r="G80" s="21">
        <v>3.7000000000000002E-3</v>
      </c>
      <c r="H80" s="22">
        <v>7.1932999999999997E-2</v>
      </c>
      <c r="I80" s="41"/>
    </row>
    <row r="81" spans="1:9" ht="12.9" customHeight="1">
      <c r="A81" s="17" t="s">
        <v>520</v>
      </c>
      <c r="B81" s="18" t="s">
        <v>521</v>
      </c>
      <c r="C81" s="14" t="s">
        <v>522</v>
      </c>
      <c r="D81" s="14" t="s">
        <v>109</v>
      </c>
      <c r="E81" s="19">
        <v>5000</v>
      </c>
      <c r="F81" s="20">
        <v>5037.03</v>
      </c>
      <c r="G81" s="21">
        <v>3.7000000000000002E-3</v>
      </c>
      <c r="H81" s="22">
        <v>6.9199999999999998E-2</v>
      </c>
      <c r="I81" s="41"/>
    </row>
    <row r="82" spans="1:9" ht="12.9" customHeight="1">
      <c r="A82" s="17" t="s">
        <v>523</v>
      </c>
      <c r="B82" s="18" t="s">
        <v>524</v>
      </c>
      <c r="C82" s="14" t="s">
        <v>525</v>
      </c>
      <c r="D82" s="14" t="s">
        <v>109</v>
      </c>
      <c r="E82" s="19">
        <v>500</v>
      </c>
      <c r="F82" s="20">
        <v>5033.3249999999998</v>
      </c>
      <c r="G82" s="21">
        <v>3.7000000000000002E-3</v>
      </c>
      <c r="H82" s="22">
        <v>6.7699999999999996E-2</v>
      </c>
      <c r="I82" s="41"/>
    </row>
    <row r="83" spans="1:9" ht="12.9" customHeight="1">
      <c r="A83" s="17" t="s">
        <v>526</v>
      </c>
      <c r="B83" s="18" t="s">
        <v>527</v>
      </c>
      <c r="C83" s="14" t="s">
        <v>528</v>
      </c>
      <c r="D83" s="14" t="s">
        <v>109</v>
      </c>
      <c r="E83" s="19">
        <v>5000</v>
      </c>
      <c r="F83" s="20">
        <v>5021.1099999999997</v>
      </c>
      <c r="G83" s="21">
        <v>3.7000000000000002E-3</v>
      </c>
      <c r="H83" s="22">
        <v>7.2499999999999995E-2</v>
      </c>
      <c r="I83" s="41"/>
    </row>
    <row r="84" spans="1:9" ht="12.9" customHeight="1">
      <c r="A84" s="17" t="s">
        <v>529</v>
      </c>
      <c r="B84" s="18" t="s">
        <v>530</v>
      </c>
      <c r="C84" s="14" t="s">
        <v>531</v>
      </c>
      <c r="D84" s="14" t="s">
        <v>109</v>
      </c>
      <c r="E84" s="19">
        <v>5000</v>
      </c>
      <c r="F84" s="20">
        <v>5009.9849999999997</v>
      </c>
      <c r="G84" s="21">
        <v>3.7000000000000002E-3</v>
      </c>
      <c r="H84" s="22">
        <v>7.1473999999999996E-2</v>
      </c>
      <c r="I84" s="41"/>
    </row>
    <row r="85" spans="1:9" ht="12.9" customHeight="1">
      <c r="A85" s="17" t="s">
        <v>532</v>
      </c>
      <c r="B85" s="18" t="s">
        <v>533</v>
      </c>
      <c r="C85" s="14" t="s">
        <v>534</v>
      </c>
      <c r="D85" s="14" t="s">
        <v>109</v>
      </c>
      <c r="E85" s="19">
        <v>5000</v>
      </c>
      <c r="F85" s="20">
        <v>4995.21</v>
      </c>
      <c r="G85" s="21">
        <v>3.7000000000000002E-3</v>
      </c>
      <c r="H85" s="22">
        <v>7.1249999999999994E-2</v>
      </c>
      <c r="I85" s="41"/>
    </row>
    <row r="86" spans="1:9" ht="12.9" customHeight="1">
      <c r="A86" s="17" t="s">
        <v>535</v>
      </c>
      <c r="B86" s="18" t="s">
        <v>536</v>
      </c>
      <c r="C86" s="14" t="s">
        <v>537</v>
      </c>
      <c r="D86" s="14" t="s">
        <v>109</v>
      </c>
      <c r="E86" s="19">
        <v>5000</v>
      </c>
      <c r="F86" s="20">
        <v>4993.1549999999997</v>
      </c>
      <c r="G86" s="21">
        <v>3.7000000000000002E-3</v>
      </c>
      <c r="H86" s="22">
        <v>7.2175000000000003E-2</v>
      </c>
      <c r="I86" s="41"/>
    </row>
    <row r="87" spans="1:9" ht="12.9" customHeight="1">
      <c r="A87" s="17" t="s">
        <v>538</v>
      </c>
      <c r="B87" s="18" t="s">
        <v>539</v>
      </c>
      <c r="C87" s="14" t="s">
        <v>540</v>
      </c>
      <c r="D87" s="14" t="s">
        <v>109</v>
      </c>
      <c r="E87" s="19">
        <v>5000</v>
      </c>
      <c r="F87" s="20">
        <v>4984.1350000000002</v>
      </c>
      <c r="G87" s="21">
        <v>3.5999999999999999E-3</v>
      </c>
      <c r="H87" s="22">
        <v>7.5274999999999995E-2</v>
      </c>
      <c r="I87" s="41"/>
    </row>
    <row r="88" spans="1:9" ht="12.9" customHeight="1">
      <c r="A88" s="17" t="s">
        <v>541</v>
      </c>
      <c r="B88" s="18" t="s">
        <v>542</v>
      </c>
      <c r="C88" s="14" t="s">
        <v>543</v>
      </c>
      <c r="D88" s="14" t="s">
        <v>109</v>
      </c>
      <c r="E88" s="19">
        <v>5000</v>
      </c>
      <c r="F88" s="20">
        <v>4979.375</v>
      </c>
      <c r="G88" s="21">
        <v>3.5999999999999999E-3</v>
      </c>
      <c r="H88" s="22">
        <v>7.1249999999999994E-2</v>
      </c>
      <c r="I88" s="41"/>
    </row>
    <row r="89" spans="1:9" ht="12.9" customHeight="1">
      <c r="A89" s="17" t="s">
        <v>544</v>
      </c>
      <c r="B89" s="18" t="s">
        <v>545</v>
      </c>
      <c r="C89" s="14" t="s">
        <v>546</v>
      </c>
      <c r="D89" s="14" t="s">
        <v>372</v>
      </c>
      <c r="E89" s="19">
        <v>5000</v>
      </c>
      <c r="F89" s="20">
        <v>4967.92</v>
      </c>
      <c r="G89" s="21">
        <v>3.5999999999999999E-3</v>
      </c>
      <c r="H89" s="22">
        <v>6.905E-2</v>
      </c>
      <c r="I89" s="41"/>
    </row>
    <row r="90" spans="1:9" ht="12.9" customHeight="1">
      <c r="A90" s="17" t="s">
        <v>547</v>
      </c>
      <c r="B90" s="18" t="s">
        <v>548</v>
      </c>
      <c r="C90" s="14" t="s">
        <v>549</v>
      </c>
      <c r="D90" s="14" t="s">
        <v>109</v>
      </c>
      <c r="E90" s="19">
        <v>5000</v>
      </c>
      <c r="F90" s="20">
        <v>4966.7299999999996</v>
      </c>
      <c r="G90" s="21">
        <v>3.5999999999999999E-3</v>
      </c>
      <c r="H90" s="22">
        <v>6.8870000000000001E-2</v>
      </c>
      <c r="I90" s="41"/>
    </row>
    <row r="91" spans="1:9" ht="12.9" customHeight="1">
      <c r="A91" s="17" t="s">
        <v>550</v>
      </c>
      <c r="B91" s="18" t="s">
        <v>551</v>
      </c>
      <c r="C91" s="14" t="s">
        <v>552</v>
      </c>
      <c r="D91" s="14" t="s">
        <v>109</v>
      </c>
      <c r="E91" s="19">
        <v>5000</v>
      </c>
      <c r="F91" s="20">
        <v>4935.7950000000001</v>
      </c>
      <c r="G91" s="21">
        <v>3.5999999999999999E-3</v>
      </c>
      <c r="H91" s="22">
        <v>7.2961999999999999E-2</v>
      </c>
      <c r="I91" s="41"/>
    </row>
    <row r="92" spans="1:9" ht="12.9" customHeight="1">
      <c r="A92" s="17" t="s">
        <v>553</v>
      </c>
      <c r="B92" s="18" t="s">
        <v>554</v>
      </c>
      <c r="C92" s="14" t="s">
        <v>555</v>
      </c>
      <c r="D92" s="14" t="s">
        <v>109</v>
      </c>
      <c r="E92" s="19">
        <v>4500</v>
      </c>
      <c r="F92" s="20">
        <v>4593.0600000000004</v>
      </c>
      <c r="G92" s="21">
        <v>3.3999999999999998E-3</v>
      </c>
      <c r="H92" s="22">
        <v>6.9500000000000006E-2</v>
      </c>
      <c r="I92" s="41"/>
    </row>
    <row r="93" spans="1:9" ht="12.9" customHeight="1">
      <c r="A93" s="17" t="s">
        <v>556</v>
      </c>
      <c r="B93" s="18" t="s">
        <v>557</v>
      </c>
      <c r="C93" s="14" t="s">
        <v>558</v>
      </c>
      <c r="D93" s="14" t="s">
        <v>109</v>
      </c>
      <c r="E93" s="19">
        <v>4500</v>
      </c>
      <c r="F93" s="20">
        <v>4514.4674999999997</v>
      </c>
      <c r="G93" s="21">
        <v>3.3E-3</v>
      </c>
      <c r="H93" s="22">
        <v>6.7299999999999999E-2</v>
      </c>
      <c r="I93" s="41"/>
    </row>
    <row r="94" spans="1:9" ht="12.9" customHeight="1">
      <c r="A94" s="17" t="s">
        <v>559</v>
      </c>
      <c r="B94" s="18" t="s">
        <v>560</v>
      </c>
      <c r="C94" s="14" t="s">
        <v>561</v>
      </c>
      <c r="D94" s="14" t="s">
        <v>109</v>
      </c>
      <c r="E94" s="19">
        <v>400</v>
      </c>
      <c r="F94" s="20">
        <v>4156.384</v>
      </c>
      <c r="G94" s="21">
        <v>3.0000000000000001E-3</v>
      </c>
      <c r="H94" s="22">
        <v>6.9400000000000003E-2</v>
      </c>
      <c r="I94" s="41"/>
    </row>
    <row r="95" spans="1:9" ht="12.9" customHeight="1">
      <c r="A95" s="17" t="s">
        <v>119</v>
      </c>
      <c r="B95" s="18" t="s">
        <v>120</v>
      </c>
      <c r="C95" s="14" t="s">
        <v>121</v>
      </c>
      <c r="D95" s="14" t="s">
        <v>109</v>
      </c>
      <c r="E95" s="19">
        <v>4100</v>
      </c>
      <c r="F95" s="20">
        <v>4108.8068000000003</v>
      </c>
      <c r="G95" s="21">
        <v>3.0000000000000001E-3</v>
      </c>
      <c r="H95" s="22">
        <v>6.3549999999999995E-2</v>
      </c>
      <c r="I95" s="41"/>
    </row>
    <row r="96" spans="1:9" ht="12.9" customHeight="1">
      <c r="A96" s="17" t="s">
        <v>562</v>
      </c>
      <c r="B96" s="18" t="s">
        <v>563</v>
      </c>
      <c r="C96" s="14" t="s">
        <v>564</v>
      </c>
      <c r="D96" s="14" t="s">
        <v>109</v>
      </c>
      <c r="E96" s="19">
        <v>400</v>
      </c>
      <c r="F96" s="20">
        <v>4067.0360000000001</v>
      </c>
      <c r="G96" s="21">
        <v>3.0000000000000001E-3</v>
      </c>
      <c r="H96" s="22">
        <v>7.1249999999999994E-2</v>
      </c>
      <c r="I96" s="41"/>
    </row>
    <row r="97" spans="1:9" ht="12.9" customHeight="1">
      <c r="A97" s="17" t="s">
        <v>565</v>
      </c>
      <c r="B97" s="18" t="s">
        <v>566</v>
      </c>
      <c r="C97" s="14" t="s">
        <v>567</v>
      </c>
      <c r="D97" s="14" t="s">
        <v>353</v>
      </c>
      <c r="E97" s="19">
        <v>3500</v>
      </c>
      <c r="F97" s="20">
        <v>3530.2190000000001</v>
      </c>
      <c r="G97" s="21">
        <v>2.5999999999999999E-3</v>
      </c>
      <c r="H97" s="22">
        <v>7.0999999999999994E-2</v>
      </c>
      <c r="I97" s="41"/>
    </row>
    <row r="98" spans="1:9" ht="12.9" customHeight="1">
      <c r="A98" s="17" t="s">
        <v>568</v>
      </c>
      <c r="B98" s="18" t="s">
        <v>569</v>
      </c>
      <c r="C98" s="14" t="s">
        <v>570</v>
      </c>
      <c r="D98" s="14" t="s">
        <v>109</v>
      </c>
      <c r="E98" s="19">
        <v>350</v>
      </c>
      <c r="F98" s="20">
        <v>3499.5520000000001</v>
      </c>
      <c r="G98" s="21">
        <v>2.5999999999999999E-3</v>
      </c>
      <c r="H98" s="22">
        <v>5.8000000000000003E-2</v>
      </c>
      <c r="I98" s="41"/>
    </row>
    <row r="99" spans="1:9" ht="12.9" customHeight="1">
      <c r="A99" s="17" t="s">
        <v>571</v>
      </c>
      <c r="B99" s="18" t="s">
        <v>572</v>
      </c>
      <c r="C99" s="14" t="s">
        <v>573</v>
      </c>
      <c r="D99" s="14" t="s">
        <v>109</v>
      </c>
      <c r="E99" s="19">
        <v>3000</v>
      </c>
      <c r="F99" s="20">
        <v>3043.5239999999999</v>
      </c>
      <c r="G99" s="21">
        <v>2.2000000000000001E-3</v>
      </c>
      <c r="H99" s="22">
        <v>7.2700000000000001E-2</v>
      </c>
      <c r="I99" s="41"/>
    </row>
    <row r="100" spans="1:9" ht="12.9" customHeight="1">
      <c r="A100" s="17" t="s">
        <v>574</v>
      </c>
      <c r="B100" s="18" t="s">
        <v>575</v>
      </c>
      <c r="C100" s="14" t="s">
        <v>576</v>
      </c>
      <c r="D100" s="14" t="s">
        <v>84</v>
      </c>
      <c r="E100" s="19">
        <v>3000000</v>
      </c>
      <c r="F100" s="20">
        <v>3009.5250000000001</v>
      </c>
      <c r="G100" s="21">
        <v>2.2000000000000001E-3</v>
      </c>
      <c r="H100" s="22">
        <v>7.1310999999999999E-2</v>
      </c>
      <c r="I100" s="41"/>
    </row>
    <row r="101" spans="1:9" ht="12.9" customHeight="1">
      <c r="A101" s="17" t="s">
        <v>577</v>
      </c>
      <c r="B101" s="18" t="s">
        <v>578</v>
      </c>
      <c r="C101" s="14" t="s">
        <v>579</v>
      </c>
      <c r="D101" s="14" t="s">
        <v>109</v>
      </c>
      <c r="E101" s="19">
        <v>300</v>
      </c>
      <c r="F101" s="20">
        <v>2957.8290000000002</v>
      </c>
      <c r="G101" s="21">
        <v>2.2000000000000001E-3</v>
      </c>
      <c r="H101" s="22">
        <v>7.1550000000000002E-2</v>
      </c>
      <c r="I101" s="41"/>
    </row>
    <row r="102" spans="1:9" ht="12.9" customHeight="1">
      <c r="A102" s="17" t="s">
        <v>580</v>
      </c>
      <c r="B102" s="18" t="s">
        <v>581</v>
      </c>
      <c r="C102" s="14" t="s">
        <v>582</v>
      </c>
      <c r="D102" s="14" t="s">
        <v>109</v>
      </c>
      <c r="E102" s="19">
        <v>2500</v>
      </c>
      <c r="F102" s="20">
        <v>2560.9625000000001</v>
      </c>
      <c r="G102" s="21">
        <v>1.9E-3</v>
      </c>
      <c r="H102" s="22">
        <v>7.2499999999999995E-2</v>
      </c>
      <c r="I102" s="41"/>
    </row>
    <row r="103" spans="1:9" ht="12.9" customHeight="1">
      <c r="A103" s="17" t="s">
        <v>583</v>
      </c>
      <c r="B103" s="18" t="s">
        <v>584</v>
      </c>
      <c r="C103" s="14" t="s">
        <v>585</v>
      </c>
      <c r="D103" s="14" t="s">
        <v>109</v>
      </c>
      <c r="E103" s="19">
        <v>2500</v>
      </c>
      <c r="F103" s="20">
        <v>2558.4675000000002</v>
      </c>
      <c r="G103" s="21">
        <v>1.9E-3</v>
      </c>
      <c r="H103" s="22">
        <v>6.9180000000000005E-2</v>
      </c>
      <c r="I103" s="41"/>
    </row>
    <row r="104" spans="1:9" ht="12.9" customHeight="1">
      <c r="A104" s="17" t="s">
        <v>586</v>
      </c>
      <c r="B104" s="18" t="s">
        <v>587</v>
      </c>
      <c r="C104" s="14" t="s">
        <v>588</v>
      </c>
      <c r="D104" s="14" t="s">
        <v>109</v>
      </c>
      <c r="E104" s="19">
        <v>2500</v>
      </c>
      <c r="F104" s="20">
        <v>2557.79</v>
      </c>
      <c r="G104" s="21">
        <v>1.9E-3</v>
      </c>
      <c r="H104" s="22">
        <v>7.3179999999999995E-2</v>
      </c>
      <c r="I104" s="41"/>
    </row>
    <row r="105" spans="1:9" ht="12.9" customHeight="1">
      <c r="A105" s="17" t="s">
        <v>589</v>
      </c>
      <c r="B105" s="18" t="s">
        <v>590</v>
      </c>
      <c r="C105" s="14" t="s">
        <v>591</v>
      </c>
      <c r="D105" s="14" t="s">
        <v>109</v>
      </c>
      <c r="E105" s="19">
        <v>2500</v>
      </c>
      <c r="F105" s="20">
        <v>2549.3375000000001</v>
      </c>
      <c r="G105" s="21">
        <v>1.9E-3</v>
      </c>
      <c r="H105" s="22">
        <v>6.9099999999999995E-2</v>
      </c>
      <c r="I105" s="41"/>
    </row>
    <row r="106" spans="1:9" ht="12.9" customHeight="1">
      <c r="A106" s="17" t="s">
        <v>592</v>
      </c>
      <c r="B106" s="18" t="s">
        <v>593</v>
      </c>
      <c r="C106" s="14" t="s">
        <v>594</v>
      </c>
      <c r="D106" s="14" t="s">
        <v>109</v>
      </c>
      <c r="E106" s="19">
        <v>2500</v>
      </c>
      <c r="F106" s="20">
        <v>2547.4675000000002</v>
      </c>
      <c r="G106" s="21">
        <v>1.9E-3</v>
      </c>
      <c r="H106" s="22">
        <v>6.8199999999999997E-2</v>
      </c>
      <c r="I106" s="41"/>
    </row>
    <row r="107" spans="1:9" ht="12.9" customHeight="1">
      <c r="A107" s="17" t="s">
        <v>595</v>
      </c>
      <c r="B107" s="18" t="s">
        <v>596</v>
      </c>
      <c r="C107" s="14" t="s">
        <v>597</v>
      </c>
      <c r="D107" s="14" t="s">
        <v>109</v>
      </c>
      <c r="E107" s="19">
        <v>250</v>
      </c>
      <c r="F107" s="20">
        <v>2540.4575</v>
      </c>
      <c r="G107" s="21">
        <v>1.9E-3</v>
      </c>
      <c r="H107" s="22">
        <v>6.8199999999999997E-2</v>
      </c>
      <c r="I107" s="41"/>
    </row>
    <row r="108" spans="1:9" ht="12.9" customHeight="1">
      <c r="A108" s="17" t="s">
        <v>598</v>
      </c>
      <c r="B108" s="18" t="s">
        <v>599</v>
      </c>
      <c r="C108" s="14" t="s">
        <v>600</v>
      </c>
      <c r="D108" s="14" t="s">
        <v>109</v>
      </c>
      <c r="E108" s="19">
        <v>250</v>
      </c>
      <c r="F108" s="20">
        <v>2536.2049999999999</v>
      </c>
      <c r="G108" s="21">
        <v>1.9E-3</v>
      </c>
      <c r="H108" s="22">
        <v>6.8199999999999997E-2</v>
      </c>
      <c r="I108" s="41"/>
    </row>
    <row r="109" spans="1:9" ht="12.9" customHeight="1">
      <c r="A109" s="17" t="s">
        <v>601</v>
      </c>
      <c r="B109" s="18" t="s">
        <v>602</v>
      </c>
      <c r="C109" s="14" t="s">
        <v>603</v>
      </c>
      <c r="D109" s="14" t="s">
        <v>109</v>
      </c>
      <c r="E109" s="19">
        <v>2500</v>
      </c>
      <c r="F109" s="20">
        <v>2535.65</v>
      </c>
      <c r="G109" s="21">
        <v>1.9E-3</v>
      </c>
      <c r="H109" s="22">
        <v>6.9779999999999995E-2</v>
      </c>
      <c r="I109" s="41"/>
    </row>
    <row r="110" spans="1:9" ht="12.9" customHeight="1">
      <c r="A110" s="17" t="s">
        <v>604</v>
      </c>
      <c r="B110" s="18" t="s">
        <v>605</v>
      </c>
      <c r="C110" s="14" t="s">
        <v>606</v>
      </c>
      <c r="D110" s="14" t="s">
        <v>109</v>
      </c>
      <c r="E110" s="19">
        <v>2500</v>
      </c>
      <c r="F110" s="20">
        <v>2535.2199999999998</v>
      </c>
      <c r="G110" s="21">
        <v>1.9E-3</v>
      </c>
      <c r="H110" s="22">
        <v>6.8699999999999997E-2</v>
      </c>
      <c r="I110" s="41"/>
    </row>
    <row r="111" spans="1:9" ht="12.9" customHeight="1">
      <c r="A111" s="17" t="s">
        <v>607</v>
      </c>
      <c r="B111" s="18" t="s">
        <v>608</v>
      </c>
      <c r="C111" s="14" t="s">
        <v>609</v>
      </c>
      <c r="D111" s="14" t="s">
        <v>109</v>
      </c>
      <c r="E111" s="19">
        <v>2500</v>
      </c>
      <c r="F111" s="20">
        <v>2531.9924999999998</v>
      </c>
      <c r="G111" s="21">
        <v>1.9E-3</v>
      </c>
      <c r="H111" s="22">
        <v>6.8349999999999994E-2</v>
      </c>
      <c r="I111" s="41"/>
    </row>
    <row r="112" spans="1:9" ht="12.9" customHeight="1">
      <c r="A112" s="17" t="s">
        <v>610</v>
      </c>
      <c r="B112" s="18" t="s">
        <v>611</v>
      </c>
      <c r="C112" s="14" t="s">
        <v>612</v>
      </c>
      <c r="D112" s="14" t="s">
        <v>109</v>
      </c>
      <c r="E112" s="19">
        <v>250</v>
      </c>
      <c r="F112" s="20">
        <v>2531.915</v>
      </c>
      <c r="G112" s="21">
        <v>1.9E-3</v>
      </c>
      <c r="H112" s="22">
        <v>6.6650000000000001E-2</v>
      </c>
      <c r="I112" s="41"/>
    </row>
    <row r="113" spans="1:9" ht="12.9" customHeight="1">
      <c r="A113" s="17" t="s">
        <v>613</v>
      </c>
      <c r="B113" s="18" t="s">
        <v>614</v>
      </c>
      <c r="C113" s="14" t="s">
        <v>615</v>
      </c>
      <c r="D113" s="14" t="s">
        <v>109</v>
      </c>
      <c r="E113" s="19">
        <v>2500</v>
      </c>
      <c r="F113" s="20">
        <v>2529.6325000000002</v>
      </c>
      <c r="G113" s="21">
        <v>1.9E-3</v>
      </c>
      <c r="H113" s="22">
        <v>7.2999999999999995E-2</v>
      </c>
      <c r="I113" s="41"/>
    </row>
    <row r="114" spans="1:9" ht="12.9" customHeight="1">
      <c r="A114" s="17" t="s">
        <v>616</v>
      </c>
      <c r="B114" s="18" t="s">
        <v>617</v>
      </c>
      <c r="C114" s="14" t="s">
        <v>618</v>
      </c>
      <c r="D114" s="14" t="s">
        <v>109</v>
      </c>
      <c r="E114" s="19">
        <v>250</v>
      </c>
      <c r="F114" s="20">
        <v>2525.9875000000002</v>
      </c>
      <c r="G114" s="21">
        <v>1.8E-3</v>
      </c>
      <c r="H114" s="22">
        <v>7.4707999999999997E-2</v>
      </c>
      <c r="I114" s="41"/>
    </row>
    <row r="115" spans="1:9" ht="12.9" customHeight="1">
      <c r="A115" s="17" t="s">
        <v>619</v>
      </c>
      <c r="B115" s="18" t="s">
        <v>620</v>
      </c>
      <c r="C115" s="14" t="s">
        <v>621</v>
      </c>
      <c r="D115" s="14" t="s">
        <v>109</v>
      </c>
      <c r="E115" s="19">
        <v>2500</v>
      </c>
      <c r="F115" s="20">
        <v>2522.3024999999998</v>
      </c>
      <c r="G115" s="21">
        <v>1.8E-3</v>
      </c>
      <c r="H115" s="22">
        <v>7.2599999999999998E-2</v>
      </c>
      <c r="I115" s="41"/>
    </row>
    <row r="116" spans="1:9" ht="12.9" customHeight="1">
      <c r="A116" s="17" t="s">
        <v>622</v>
      </c>
      <c r="B116" s="18" t="s">
        <v>623</v>
      </c>
      <c r="C116" s="14" t="s">
        <v>624</v>
      </c>
      <c r="D116" s="14" t="s">
        <v>84</v>
      </c>
      <c r="E116" s="19">
        <v>2500000</v>
      </c>
      <c r="F116" s="20">
        <v>2522.2775000000001</v>
      </c>
      <c r="G116" s="21">
        <v>1.8E-3</v>
      </c>
      <c r="H116" s="22">
        <v>6.8318000000000004E-2</v>
      </c>
      <c r="I116" s="41"/>
    </row>
    <row r="117" spans="1:9" ht="12.9" customHeight="1">
      <c r="A117" s="17" t="s">
        <v>625</v>
      </c>
      <c r="B117" s="18" t="s">
        <v>626</v>
      </c>
      <c r="C117" s="14" t="s">
        <v>627</v>
      </c>
      <c r="D117" s="14" t="s">
        <v>109</v>
      </c>
      <c r="E117" s="19">
        <v>2500</v>
      </c>
      <c r="F117" s="20">
        <v>2517.415</v>
      </c>
      <c r="G117" s="21">
        <v>1.8E-3</v>
      </c>
      <c r="H117" s="22">
        <v>6.7250000000000004E-2</v>
      </c>
      <c r="I117" s="41"/>
    </row>
    <row r="118" spans="1:9" ht="12.9" customHeight="1">
      <c r="A118" s="17" t="s">
        <v>628</v>
      </c>
      <c r="B118" s="18" t="s">
        <v>629</v>
      </c>
      <c r="C118" s="14" t="s">
        <v>630</v>
      </c>
      <c r="D118" s="14" t="s">
        <v>109</v>
      </c>
      <c r="E118" s="19">
        <v>2500</v>
      </c>
      <c r="F118" s="20">
        <v>2511.2824999999998</v>
      </c>
      <c r="G118" s="21">
        <v>1.8E-3</v>
      </c>
      <c r="H118" s="22">
        <v>6.5388000000000002E-2</v>
      </c>
      <c r="I118" s="41"/>
    </row>
    <row r="119" spans="1:9" ht="12.9" customHeight="1">
      <c r="A119" s="17" t="s">
        <v>631</v>
      </c>
      <c r="B119" s="18" t="s">
        <v>632</v>
      </c>
      <c r="C119" s="14" t="s">
        <v>633</v>
      </c>
      <c r="D119" s="14" t="s">
        <v>109</v>
      </c>
      <c r="E119" s="19">
        <v>2500</v>
      </c>
      <c r="F119" s="20">
        <v>2511.2550000000001</v>
      </c>
      <c r="G119" s="21">
        <v>1.8E-3</v>
      </c>
      <c r="H119" s="22">
        <v>7.4815000000000006E-2</v>
      </c>
      <c r="I119" s="41"/>
    </row>
    <row r="120" spans="1:9" ht="12.9" customHeight="1">
      <c r="A120" s="17" t="s">
        <v>634</v>
      </c>
      <c r="B120" s="18" t="s">
        <v>635</v>
      </c>
      <c r="C120" s="14" t="s">
        <v>636</v>
      </c>
      <c r="D120" s="14" t="s">
        <v>109</v>
      </c>
      <c r="E120" s="19">
        <v>2500</v>
      </c>
      <c r="F120" s="20">
        <v>2503.4899999999998</v>
      </c>
      <c r="G120" s="21">
        <v>1.8E-3</v>
      </c>
      <c r="H120" s="22">
        <v>7.22E-2</v>
      </c>
      <c r="I120" s="41"/>
    </row>
    <row r="121" spans="1:9" ht="12.9" customHeight="1">
      <c r="A121" s="17" t="s">
        <v>637</v>
      </c>
      <c r="B121" s="18" t="s">
        <v>638</v>
      </c>
      <c r="C121" s="14" t="s">
        <v>639</v>
      </c>
      <c r="D121" s="14" t="s">
        <v>109</v>
      </c>
      <c r="E121" s="19">
        <v>2500</v>
      </c>
      <c r="F121" s="20">
        <v>2501.8425000000002</v>
      </c>
      <c r="G121" s="21">
        <v>1.8E-3</v>
      </c>
      <c r="H121" s="22">
        <v>7.5299000000000005E-2</v>
      </c>
      <c r="I121" s="41"/>
    </row>
    <row r="122" spans="1:9" ht="12.9" customHeight="1">
      <c r="A122" s="17" t="s">
        <v>640</v>
      </c>
      <c r="B122" s="18" t="s">
        <v>641</v>
      </c>
      <c r="C122" s="14" t="s">
        <v>642</v>
      </c>
      <c r="D122" s="14" t="s">
        <v>109</v>
      </c>
      <c r="E122" s="19">
        <v>2500</v>
      </c>
      <c r="F122" s="20">
        <v>2498.5374999999999</v>
      </c>
      <c r="G122" s="21">
        <v>1.8E-3</v>
      </c>
      <c r="H122" s="22">
        <v>7.4999999999999997E-2</v>
      </c>
      <c r="I122" s="41"/>
    </row>
    <row r="123" spans="1:9" ht="12.9" customHeight="1">
      <c r="A123" s="17" t="s">
        <v>643</v>
      </c>
      <c r="B123" s="18" t="s">
        <v>644</v>
      </c>
      <c r="C123" s="14" t="s">
        <v>645</v>
      </c>
      <c r="D123" s="14" t="s">
        <v>109</v>
      </c>
      <c r="E123" s="19">
        <v>2500</v>
      </c>
      <c r="F123" s="20">
        <v>2493.46</v>
      </c>
      <c r="G123" s="21">
        <v>1.8E-3</v>
      </c>
      <c r="H123" s="22">
        <v>7.0949999999999999E-2</v>
      </c>
      <c r="I123" s="41"/>
    </row>
    <row r="124" spans="1:9" ht="12.9" customHeight="1">
      <c r="A124" s="17" t="s">
        <v>646</v>
      </c>
      <c r="B124" s="18" t="s">
        <v>647</v>
      </c>
      <c r="C124" s="14" t="s">
        <v>648</v>
      </c>
      <c r="D124" s="14" t="s">
        <v>109</v>
      </c>
      <c r="E124" s="19">
        <v>2500</v>
      </c>
      <c r="F124" s="20">
        <v>2492.7024999999999</v>
      </c>
      <c r="G124" s="21">
        <v>1.8E-3</v>
      </c>
      <c r="H124" s="22">
        <v>7.1650000000000005E-2</v>
      </c>
      <c r="I124" s="41"/>
    </row>
    <row r="125" spans="1:9" ht="12.9" customHeight="1">
      <c r="A125" s="17" t="s">
        <v>649</v>
      </c>
      <c r="B125" s="18" t="s">
        <v>650</v>
      </c>
      <c r="C125" s="14" t="s">
        <v>651</v>
      </c>
      <c r="D125" s="14" t="s">
        <v>109</v>
      </c>
      <c r="E125" s="19">
        <v>2500</v>
      </c>
      <c r="F125" s="20">
        <v>2488.0574999999999</v>
      </c>
      <c r="G125" s="21">
        <v>1.8E-3</v>
      </c>
      <c r="H125" s="22">
        <v>7.0450499999999999E-2</v>
      </c>
      <c r="I125" s="41"/>
    </row>
    <row r="126" spans="1:9" ht="12.9" customHeight="1">
      <c r="A126" s="17" t="s">
        <v>652</v>
      </c>
      <c r="B126" s="18" t="s">
        <v>653</v>
      </c>
      <c r="C126" s="14" t="s">
        <v>654</v>
      </c>
      <c r="D126" s="14" t="s">
        <v>372</v>
      </c>
      <c r="E126" s="19">
        <v>2500</v>
      </c>
      <c r="F126" s="20">
        <v>2466.4675000000002</v>
      </c>
      <c r="G126" s="21">
        <v>1.8E-3</v>
      </c>
      <c r="H126" s="22">
        <v>7.2499999999999995E-2</v>
      </c>
      <c r="I126" s="41"/>
    </row>
    <row r="127" spans="1:9" ht="12.9" customHeight="1">
      <c r="A127" s="17" t="s">
        <v>655</v>
      </c>
      <c r="B127" s="18" t="s">
        <v>656</v>
      </c>
      <c r="C127" s="14" t="s">
        <v>657</v>
      </c>
      <c r="D127" s="14" t="s">
        <v>109</v>
      </c>
      <c r="E127" s="19">
        <v>2500</v>
      </c>
      <c r="F127" s="20">
        <v>2458.8049999999998</v>
      </c>
      <c r="G127" s="21">
        <v>1.8E-3</v>
      </c>
      <c r="H127" s="22">
        <v>7.0199999999999999E-2</v>
      </c>
      <c r="I127" s="41"/>
    </row>
    <row r="128" spans="1:9" ht="12.9" customHeight="1">
      <c r="A128" s="17" t="s">
        <v>658</v>
      </c>
      <c r="B128" s="18" t="s">
        <v>659</v>
      </c>
      <c r="C128" s="14" t="s">
        <v>660</v>
      </c>
      <c r="D128" s="14" t="s">
        <v>109</v>
      </c>
      <c r="E128" s="19">
        <v>250</v>
      </c>
      <c r="F128" s="20">
        <v>2416.7249999999999</v>
      </c>
      <c r="G128" s="21">
        <v>1.8E-3</v>
      </c>
      <c r="H128" s="22">
        <v>7.22E-2</v>
      </c>
      <c r="I128" s="41"/>
    </row>
    <row r="129" spans="1:9" ht="12.9" customHeight="1">
      <c r="A129" s="17" t="s">
        <v>661</v>
      </c>
      <c r="B129" s="18" t="s">
        <v>662</v>
      </c>
      <c r="C129" s="14" t="s">
        <v>663</v>
      </c>
      <c r="D129" s="14" t="s">
        <v>109</v>
      </c>
      <c r="E129" s="19">
        <v>2285</v>
      </c>
      <c r="F129" s="20">
        <v>2319.6062999999999</v>
      </c>
      <c r="G129" s="21">
        <v>1.6999999999999999E-3</v>
      </c>
      <c r="H129" s="22">
        <v>6.9779999999999995E-2</v>
      </c>
      <c r="I129" s="41"/>
    </row>
    <row r="130" spans="1:9" ht="12.9" customHeight="1">
      <c r="A130" s="17" t="s">
        <v>664</v>
      </c>
      <c r="B130" s="18" t="s">
        <v>665</v>
      </c>
      <c r="C130" s="14" t="s">
        <v>666</v>
      </c>
      <c r="D130" s="14" t="s">
        <v>109</v>
      </c>
      <c r="E130" s="19">
        <v>1800</v>
      </c>
      <c r="F130" s="20">
        <v>1825.92</v>
      </c>
      <c r="G130" s="21">
        <v>1.2999999999999999E-3</v>
      </c>
      <c r="H130" s="22">
        <v>7.0449999999999999E-2</v>
      </c>
      <c r="I130" s="41"/>
    </row>
    <row r="131" spans="1:9" ht="12.9" customHeight="1">
      <c r="A131" s="17" t="s">
        <v>140</v>
      </c>
      <c r="B131" s="18" t="s">
        <v>141</v>
      </c>
      <c r="C131" s="14" t="s">
        <v>142</v>
      </c>
      <c r="D131" s="14" t="s">
        <v>109</v>
      </c>
      <c r="E131" s="19">
        <v>175</v>
      </c>
      <c r="F131" s="20">
        <v>1758.1514999999999</v>
      </c>
      <c r="G131" s="21">
        <v>1.2999999999999999E-3</v>
      </c>
      <c r="H131" s="22">
        <v>6.4838000000000007E-2</v>
      </c>
      <c r="I131" s="41"/>
    </row>
    <row r="132" spans="1:9" ht="12.9" customHeight="1">
      <c r="A132" s="17" t="s">
        <v>667</v>
      </c>
      <c r="B132" s="18" t="s">
        <v>668</v>
      </c>
      <c r="C132" s="14" t="s">
        <v>669</v>
      </c>
      <c r="D132" s="14" t="s">
        <v>372</v>
      </c>
      <c r="E132" s="19">
        <v>1500</v>
      </c>
      <c r="F132" s="20">
        <v>1518.6434999999999</v>
      </c>
      <c r="G132" s="21">
        <v>1.1000000000000001E-3</v>
      </c>
      <c r="H132" s="22">
        <v>7.1012000000000006E-2</v>
      </c>
      <c r="I132" s="41"/>
    </row>
    <row r="133" spans="1:9" ht="12.9" customHeight="1">
      <c r="A133" s="17" t="s">
        <v>670</v>
      </c>
      <c r="B133" s="18" t="s">
        <v>671</v>
      </c>
      <c r="C133" s="14" t="s">
        <v>672</v>
      </c>
      <c r="D133" s="14" t="s">
        <v>84</v>
      </c>
      <c r="E133" s="19">
        <v>1000000</v>
      </c>
      <c r="F133" s="20">
        <v>1024.751</v>
      </c>
      <c r="G133" s="21">
        <v>6.9999999999999999E-4</v>
      </c>
      <c r="H133" s="22">
        <v>6.8612999999999993E-2</v>
      </c>
      <c r="I133" s="41"/>
    </row>
    <row r="134" spans="1:9" ht="12.9" customHeight="1">
      <c r="A134" s="17" t="s">
        <v>673</v>
      </c>
      <c r="B134" s="18" t="s">
        <v>674</v>
      </c>
      <c r="C134" s="14" t="s">
        <v>675</v>
      </c>
      <c r="D134" s="14" t="s">
        <v>109</v>
      </c>
      <c r="E134" s="19">
        <v>1000</v>
      </c>
      <c r="F134" s="20">
        <v>1022.756</v>
      </c>
      <c r="G134" s="21">
        <v>6.9999999999999999E-4</v>
      </c>
      <c r="H134" s="22">
        <v>7.1349999999999997E-2</v>
      </c>
      <c r="I134" s="41"/>
    </row>
    <row r="135" spans="1:9" ht="12.9" customHeight="1">
      <c r="A135" s="17" t="s">
        <v>676</v>
      </c>
      <c r="B135" s="18" t="s">
        <v>677</v>
      </c>
      <c r="C135" s="14" t="s">
        <v>678</v>
      </c>
      <c r="D135" s="14" t="s">
        <v>372</v>
      </c>
      <c r="E135" s="19">
        <v>1000</v>
      </c>
      <c r="F135" s="20">
        <v>1013.284</v>
      </c>
      <c r="G135" s="21">
        <v>6.9999999999999999E-4</v>
      </c>
      <c r="H135" s="22">
        <v>7.2692999999999994E-2</v>
      </c>
      <c r="I135" s="41"/>
    </row>
    <row r="136" spans="1:9" ht="12.9" customHeight="1">
      <c r="A136" s="17" t="s">
        <v>679</v>
      </c>
      <c r="B136" s="18" t="s">
        <v>680</v>
      </c>
      <c r="C136" s="14" t="s">
        <v>681</v>
      </c>
      <c r="D136" s="14" t="s">
        <v>109</v>
      </c>
      <c r="E136" s="19">
        <v>1000</v>
      </c>
      <c r="F136" s="20">
        <v>1013.096</v>
      </c>
      <c r="G136" s="21">
        <v>6.9999999999999999E-4</v>
      </c>
      <c r="H136" s="22">
        <v>6.9750000000000006E-2</v>
      </c>
      <c r="I136" s="41"/>
    </row>
    <row r="137" spans="1:9" ht="12.9" customHeight="1">
      <c r="A137" s="17" t="s">
        <v>682</v>
      </c>
      <c r="B137" s="18" t="s">
        <v>683</v>
      </c>
      <c r="C137" s="14" t="s">
        <v>684</v>
      </c>
      <c r="D137" s="14" t="s">
        <v>109</v>
      </c>
      <c r="E137" s="19">
        <v>100</v>
      </c>
      <c r="F137" s="20">
        <v>1007.808</v>
      </c>
      <c r="G137" s="21">
        <v>6.9999999999999999E-4</v>
      </c>
      <c r="H137" s="22">
        <v>6.8250000000000005E-2</v>
      </c>
      <c r="I137" s="41"/>
    </row>
    <row r="138" spans="1:9" ht="12.9" customHeight="1">
      <c r="A138" s="17" t="s">
        <v>685</v>
      </c>
      <c r="B138" s="18" t="s">
        <v>686</v>
      </c>
      <c r="C138" s="14" t="s">
        <v>687</v>
      </c>
      <c r="D138" s="14" t="s">
        <v>109</v>
      </c>
      <c r="E138" s="19">
        <v>10</v>
      </c>
      <c r="F138" s="20">
        <v>1004.495</v>
      </c>
      <c r="G138" s="21">
        <v>6.9999999999999999E-4</v>
      </c>
      <c r="H138" s="22">
        <v>6.7624000000000004E-2</v>
      </c>
      <c r="I138" s="41"/>
    </row>
    <row r="139" spans="1:9" ht="12.9" customHeight="1">
      <c r="A139" s="17" t="s">
        <v>688</v>
      </c>
      <c r="B139" s="18" t="s">
        <v>689</v>
      </c>
      <c r="C139" s="14" t="s">
        <v>690</v>
      </c>
      <c r="D139" s="14" t="s">
        <v>109</v>
      </c>
      <c r="E139" s="19">
        <v>100</v>
      </c>
      <c r="F139" s="20">
        <v>1003.87</v>
      </c>
      <c r="G139" s="21">
        <v>6.9999999999999999E-4</v>
      </c>
      <c r="H139" s="22">
        <v>6.8250000000000005E-2</v>
      </c>
      <c r="I139" s="41"/>
    </row>
    <row r="140" spans="1:9" ht="12.9" customHeight="1">
      <c r="A140" s="17" t="s">
        <v>691</v>
      </c>
      <c r="B140" s="18" t="s">
        <v>692</v>
      </c>
      <c r="C140" s="14" t="s">
        <v>693</v>
      </c>
      <c r="D140" s="14" t="s">
        <v>109</v>
      </c>
      <c r="E140" s="19">
        <v>1000</v>
      </c>
      <c r="F140" s="20">
        <v>1000.687</v>
      </c>
      <c r="G140" s="21">
        <v>6.9999999999999999E-4</v>
      </c>
      <c r="H140" s="22">
        <v>6.5246999999999999E-2</v>
      </c>
      <c r="I140" s="41"/>
    </row>
    <row r="141" spans="1:9" ht="12.9" customHeight="1">
      <c r="A141" s="17" t="s">
        <v>694</v>
      </c>
      <c r="B141" s="18" t="s">
        <v>695</v>
      </c>
      <c r="C141" s="14" t="s">
        <v>696</v>
      </c>
      <c r="D141" s="14" t="s">
        <v>84</v>
      </c>
      <c r="E141" s="19">
        <v>1000000</v>
      </c>
      <c r="F141" s="20">
        <v>995.45299999999997</v>
      </c>
      <c r="G141" s="21">
        <v>6.9999999999999999E-4</v>
      </c>
      <c r="H141" s="22">
        <v>7.1783E-2</v>
      </c>
      <c r="I141" s="41"/>
    </row>
    <row r="142" spans="1:9" ht="12.9" customHeight="1">
      <c r="A142" s="17" t="s">
        <v>697</v>
      </c>
      <c r="B142" s="18" t="s">
        <v>698</v>
      </c>
      <c r="C142" s="14" t="s">
        <v>699</v>
      </c>
      <c r="D142" s="14" t="s">
        <v>84</v>
      </c>
      <c r="E142" s="19">
        <v>550000</v>
      </c>
      <c r="F142" s="20">
        <v>551.1</v>
      </c>
      <c r="G142" s="21">
        <v>4.0000000000000002E-4</v>
      </c>
      <c r="H142" s="22">
        <v>5.5821000000000003E-2</v>
      </c>
      <c r="I142" s="41"/>
    </row>
    <row r="143" spans="1:9" ht="12.9" customHeight="1">
      <c r="A143" s="17" t="s">
        <v>700</v>
      </c>
      <c r="B143" s="18" t="s">
        <v>701</v>
      </c>
      <c r="C143" s="14" t="s">
        <v>702</v>
      </c>
      <c r="D143" s="14" t="s">
        <v>109</v>
      </c>
      <c r="E143" s="19">
        <v>500</v>
      </c>
      <c r="F143" s="20">
        <v>506.37150000000003</v>
      </c>
      <c r="G143" s="21">
        <v>4.0000000000000002E-4</v>
      </c>
      <c r="H143" s="22">
        <v>7.0349999999999996E-2</v>
      </c>
      <c r="I143" s="41"/>
    </row>
    <row r="144" spans="1:9" ht="12.9" customHeight="1">
      <c r="A144" s="17" t="s">
        <v>703</v>
      </c>
      <c r="B144" s="18" t="s">
        <v>704</v>
      </c>
      <c r="C144" s="14" t="s">
        <v>705</v>
      </c>
      <c r="D144" s="14" t="s">
        <v>84</v>
      </c>
      <c r="E144" s="19">
        <v>500000</v>
      </c>
      <c r="F144" s="20">
        <v>503.38200000000001</v>
      </c>
      <c r="G144" s="21">
        <v>4.0000000000000002E-4</v>
      </c>
      <c r="H144" s="22">
        <v>5.5100000000000003E-2</v>
      </c>
      <c r="I144" s="41"/>
    </row>
    <row r="145" spans="1:9" ht="12.9" customHeight="1">
      <c r="A145" s="17" t="s">
        <v>706</v>
      </c>
      <c r="B145" s="18" t="s">
        <v>707</v>
      </c>
      <c r="C145" s="14" t="s">
        <v>708</v>
      </c>
      <c r="D145" s="14" t="s">
        <v>84</v>
      </c>
      <c r="E145" s="19">
        <v>500000</v>
      </c>
      <c r="F145" s="20">
        <v>503.1585</v>
      </c>
      <c r="G145" s="21">
        <v>4.0000000000000002E-4</v>
      </c>
      <c r="H145" s="22">
        <v>5.5572000000000003E-2</v>
      </c>
      <c r="I145" s="41"/>
    </row>
    <row r="146" spans="1:9" ht="12.9" customHeight="1">
      <c r="A146" s="17" t="s">
        <v>709</v>
      </c>
      <c r="B146" s="18" t="s">
        <v>710</v>
      </c>
      <c r="C146" s="14" t="s">
        <v>711</v>
      </c>
      <c r="D146" s="14" t="s">
        <v>109</v>
      </c>
      <c r="E146" s="19">
        <v>500</v>
      </c>
      <c r="F146" s="20">
        <v>502.69600000000003</v>
      </c>
      <c r="G146" s="21">
        <v>4.0000000000000002E-4</v>
      </c>
      <c r="H146" s="22">
        <v>6.8949999999999997E-2</v>
      </c>
      <c r="I146" s="41"/>
    </row>
    <row r="147" spans="1:9" ht="12.9" customHeight="1">
      <c r="A147" s="17" t="s">
        <v>712</v>
      </c>
      <c r="B147" s="18" t="s">
        <v>713</v>
      </c>
      <c r="C147" s="14" t="s">
        <v>714</v>
      </c>
      <c r="D147" s="14" t="s">
        <v>109</v>
      </c>
      <c r="E147" s="19">
        <v>500</v>
      </c>
      <c r="F147" s="20">
        <v>500.1825</v>
      </c>
      <c r="G147" s="21">
        <v>4.0000000000000002E-4</v>
      </c>
      <c r="H147" s="22">
        <v>6.4500000000000002E-2</v>
      </c>
      <c r="I147" s="41"/>
    </row>
    <row r="148" spans="1:9" ht="12.9" customHeight="1">
      <c r="A148" s="17" t="s">
        <v>715</v>
      </c>
      <c r="B148" s="18" t="s">
        <v>716</v>
      </c>
      <c r="C148" s="14" t="s">
        <v>717</v>
      </c>
      <c r="D148" s="14" t="s">
        <v>84</v>
      </c>
      <c r="E148" s="19">
        <v>500000</v>
      </c>
      <c r="F148" s="20">
        <v>493.13799999999998</v>
      </c>
      <c r="G148" s="21">
        <v>4.0000000000000002E-4</v>
      </c>
      <c r="H148" s="22">
        <v>6.6457000000000002E-2</v>
      </c>
      <c r="I148" s="41"/>
    </row>
    <row r="149" spans="1:9" ht="12.9" customHeight="1">
      <c r="A149" s="17" t="s">
        <v>718</v>
      </c>
      <c r="B149" s="18" t="s">
        <v>719</v>
      </c>
      <c r="C149" s="14" t="s">
        <v>720</v>
      </c>
      <c r="D149" s="14" t="s">
        <v>84</v>
      </c>
      <c r="E149" s="19">
        <v>500000</v>
      </c>
      <c r="F149" s="20">
        <v>490.185</v>
      </c>
      <c r="G149" s="21">
        <v>4.0000000000000002E-4</v>
      </c>
      <c r="H149" s="22">
        <v>6.4051999999999998E-2</v>
      </c>
      <c r="I149" s="41"/>
    </row>
    <row r="150" spans="1:9" ht="12.9" customHeight="1">
      <c r="A150" s="17" t="s">
        <v>143</v>
      </c>
      <c r="B150" s="18" t="s">
        <v>144</v>
      </c>
      <c r="C150" s="14" t="s">
        <v>145</v>
      </c>
      <c r="D150" s="14" t="s">
        <v>109</v>
      </c>
      <c r="E150" s="19">
        <v>450</v>
      </c>
      <c r="F150" s="20">
        <v>451.1241</v>
      </c>
      <c r="G150" s="21">
        <v>2.9999999999999997E-4</v>
      </c>
      <c r="H150" s="22">
        <v>6.5000000000000002E-2</v>
      </c>
      <c r="I150" s="41"/>
    </row>
    <row r="151" spans="1:9" ht="12.9" customHeight="1">
      <c r="A151" s="17" t="s">
        <v>721</v>
      </c>
      <c r="B151" s="18" t="s">
        <v>722</v>
      </c>
      <c r="C151" s="14" t="s">
        <v>723</v>
      </c>
      <c r="D151" s="14" t="s">
        <v>84</v>
      </c>
      <c r="E151" s="19">
        <v>350000</v>
      </c>
      <c r="F151" s="20">
        <v>350.10500000000002</v>
      </c>
      <c r="G151" s="21">
        <v>2.9999999999999997E-4</v>
      </c>
      <c r="H151" s="22">
        <v>5.509E-2</v>
      </c>
      <c r="I151" s="41"/>
    </row>
    <row r="152" spans="1:9" ht="12.9" customHeight="1">
      <c r="A152" s="17" t="s">
        <v>724</v>
      </c>
      <c r="B152" s="18" t="s">
        <v>725</v>
      </c>
      <c r="C152" s="14" t="s">
        <v>726</v>
      </c>
      <c r="D152" s="14" t="s">
        <v>84</v>
      </c>
      <c r="E152" s="19">
        <v>345400</v>
      </c>
      <c r="F152" s="20">
        <v>343.72519999999997</v>
      </c>
      <c r="G152" s="21">
        <v>2.9999999999999997E-4</v>
      </c>
      <c r="H152" s="22">
        <v>7.0957000000000006E-2</v>
      </c>
      <c r="I152" s="41"/>
    </row>
    <row r="153" spans="1:9" ht="12.9" customHeight="1">
      <c r="A153" s="17" t="s">
        <v>727</v>
      </c>
      <c r="B153" s="18" t="s">
        <v>728</v>
      </c>
      <c r="C153" s="14" t="s">
        <v>729</v>
      </c>
      <c r="D153" s="14" t="s">
        <v>109</v>
      </c>
      <c r="E153" s="19">
        <v>250</v>
      </c>
      <c r="F153" s="20">
        <v>253.446</v>
      </c>
      <c r="G153" s="21">
        <v>2.0000000000000001E-4</v>
      </c>
      <c r="H153" s="22">
        <v>7.1599999999999997E-2</v>
      </c>
      <c r="I153" s="41"/>
    </row>
    <row r="154" spans="1:9" ht="12.9" customHeight="1">
      <c r="A154" s="17" t="s">
        <v>128</v>
      </c>
      <c r="B154" s="18" t="s">
        <v>129</v>
      </c>
      <c r="C154" s="14" t="s">
        <v>130</v>
      </c>
      <c r="D154" s="14" t="s">
        <v>109</v>
      </c>
      <c r="E154" s="19">
        <v>25</v>
      </c>
      <c r="F154" s="20">
        <v>250.91229999999999</v>
      </c>
      <c r="G154" s="21">
        <v>2.0000000000000001E-4</v>
      </c>
      <c r="H154" s="22">
        <v>6.3950000000000007E-2</v>
      </c>
      <c r="I154" s="41"/>
    </row>
    <row r="155" spans="1:9" ht="12.9" customHeight="1">
      <c r="A155" s="17" t="s">
        <v>730</v>
      </c>
      <c r="B155" s="18" t="s">
        <v>731</v>
      </c>
      <c r="C155" s="14" t="s">
        <v>732</v>
      </c>
      <c r="D155" s="14" t="s">
        <v>84</v>
      </c>
      <c r="E155" s="19">
        <v>175100</v>
      </c>
      <c r="F155" s="20">
        <v>177.464</v>
      </c>
      <c r="G155" s="21">
        <v>1E-4</v>
      </c>
      <c r="H155" s="22">
        <v>6.6212999999999994E-2</v>
      </c>
      <c r="I155" s="41"/>
    </row>
    <row r="156" spans="1:9" ht="12.9" customHeight="1">
      <c r="A156" s="17" t="s">
        <v>733</v>
      </c>
      <c r="B156" s="18" t="s">
        <v>734</v>
      </c>
      <c r="C156" s="14" t="s">
        <v>735</v>
      </c>
      <c r="D156" s="14" t="s">
        <v>84</v>
      </c>
      <c r="E156" s="19">
        <v>165700</v>
      </c>
      <c r="F156" s="20">
        <v>168.36859999999999</v>
      </c>
      <c r="G156" s="21">
        <v>1E-4</v>
      </c>
      <c r="H156" s="22">
        <v>7.3926000000000006E-2</v>
      </c>
      <c r="I156" s="41"/>
    </row>
    <row r="157" spans="1:9" ht="12.9" customHeight="1">
      <c r="A157" s="17" t="s">
        <v>736</v>
      </c>
      <c r="B157" s="18" t="s">
        <v>737</v>
      </c>
      <c r="C157" s="14" t="s">
        <v>738</v>
      </c>
      <c r="D157" s="14" t="s">
        <v>84</v>
      </c>
      <c r="E157" s="19">
        <v>150000</v>
      </c>
      <c r="F157" s="20">
        <v>153.3038</v>
      </c>
      <c r="G157" s="21">
        <v>1E-4</v>
      </c>
      <c r="H157" s="22">
        <v>5.7714000000000001E-2</v>
      </c>
      <c r="I157" s="41"/>
    </row>
    <row r="158" spans="1:9" ht="12.9" customHeight="1">
      <c r="A158" s="17" t="s">
        <v>739</v>
      </c>
      <c r="B158" s="18" t="s">
        <v>740</v>
      </c>
      <c r="C158" s="14" t="s">
        <v>741</v>
      </c>
      <c r="D158" s="14" t="s">
        <v>84</v>
      </c>
      <c r="E158" s="19">
        <v>140900</v>
      </c>
      <c r="F158" s="20">
        <v>137.59209999999999</v>
      </c>
      <c r="G158" s="21">
        <v>1E-4</v>
      </c>
      <c r="H158" s="22">
        <v>7.5247999999999995E-2</v>
      </c>
      <c r="I158" s="41"/>
    </row>
    <row r="159" spans="1:9" ht="12.9" customHeight="1">
      <c r="A159" s="17" t="s">
        <v>125</v>
      </c>
      <c r="B159" s="18" t="s">
        <v>126</v>
      </c>
      <c r="C159" s="14" t="s">
        <v>127</v>
      </c>
      <c r="D159" s="14" t="s">
        <v>109</v>
      </c>
      <c r="E159" s="19">
        <v>11</v>
      </c>
      <c r="F159" s="20">
        <v>110.15900000000001</v>
      </c>
      <c r="G159" s="21">
        <v>1E-4</v>
      </c>
      <c r="H159" s="22">
        <v>6.7207000000000003E-2</v>
      </c>
      <c r="I159" s="41"/>
    </row>
    <row r="160" spans="1:9" ht="12.9" customHeight="1">
      <c r="A160" s="17" t="s">
        <v>742</v>
      </c>
      <c r="B160" s="18" t="s">
        <v>743</v>
      </c>
      <c r="C160" s="14" t="s">
        <v>744</v>
      </c>
      <c r="D160" s="14" t="s">
        <v>109</v>
      </c>
      <c r="E160" s="19">
        <v>100</v>
      </c>
      <c r="F160" s="20">
        <v>101.25409999999999</v>
      </c>
      <c r="G160" s="21">
        <v>1E-4</v>
      </c>
      <c r="H160" s="22">
        <v>7.1849999999999997E-2</v>
      </c>
      <c r="I160" s="41"/>
    </row>
    <row r="161" spans="1:9" ht="12.9" customHeight="1">
      <c r="A161" s="17" t="s">
        <v>113</v>
      </c>
      <c r="B161" s="18" t="s">
        <v>114</v>
      </c>
      <c r="C161" s="14" t="s">
        <v>115</v>
      </c>
      <c r="D161" s="14" t="s">
        <v>109</v>
      </c>
      <c r="E161" s="19">
        <v>100</v>
      </c>
      <c r="F161" s="20">
        <v>100.251</v>
      </c>
      <c r="G161" s="21">
        <v>1E-4</v>
      </c>
      <c r="H161" s="22">
        <v>6.7299999999999999E-2</v>
      </c>
      <c r="I161" s="41"/>
    </row>
    <row r="162" spans="1:9" ht="12.9" customHeight="1">
      <c r="A162" s="17" t="s">
        <v>116</v>
      </c>
      <c r="B162" s="18" t="s">
        <v>117</v>
      </c>
      <c r="C162" s="14" t="s">
        <v>118</v>
      </c>
      <c r="D162" s="14" t="s">
        <v>109</v>
      </c>
      <c r="E162" s="19">
        <v>100</v>
      </c>
      <c r="F162" s="20">
        <v>100.23269999999999</v>
      </c>
      <c r="G162" s="21">
        <v>1E-4</v>
      </c>
      <c r="H162" s="22">
        <v>6.275E-2</v>
      </c>
      <c r="I162" s="41"/>
    </row>
    <row r="163" spans="1:9" ht="12.9" customHeight="1">
      <c r="A163" s="17" t="s">
        <v>745</v>
      </c>
      <c r="B163" s="18" t="s">
        <v>746</v>
      </c>
      <c r="C163" s="14" t="s">
        <v>747</v>
      </c>
      <c r="D163" s="14" t="s">
        <v>109</v>
      </c>
      <c r="E163" s="19">
        <v>9</v>
      </c>
      <c r="F163" s="20">
        <v>89.271000000000001</v>
      </c>
      <c r="G163" s="21">
        <v>1E-4</v>
      </c>
      <c r="H163" s="22">
        <v>6.7746000000000001E-2</v>
      </c>
      <c r="I163" s="41"/>
    </row>
    <row r="164" spans="1:9" ht="12.9" customHeight="1">
      <c r="A164" s="17" t="s">
        <v>748</v>
      </c>
      <c r="B164" s="18" t="s">
        <v>749</v>
      </c>
      <c r="C164" s="14" t="s">
        <v>750</v>
      </c>
      <c r="D164" s="14" t="s">
        <v>372</v>
      </c>
      <c r="E164" s="19">
        <v>5</v>
      </c>
      <c r="F164" s="20">
        <v>49.565300000000001</v>
      </c>
      <c r="G164" s="30" t="s">
        <v>95</v>
      </c>
      <c r="H164" s="22">
        <v>7.0150000000000004E-2</v>
      </c>
      <c r="I164" s="41"/>
    </row>
    <row r="165" spans="1:9" ht="12.9" customHeight="1">
      <c r="A165" s="5"/>
      <c r="B165" s="13" t="s">
        <v>88</v>
      </c>
      <c r="C165" s="14"/>
      <c r="D165" s="14"/>
      <c r="E165" s="14"/>
      <c r="F165" s="24">
        <v>1166002.1174000001</v>
      </c>
      <c r="G165" s="25">
        <v>0.85329999999999995</v>
      </c>
      <c r="H165" s="26"/>
      <c r="I165" s="27"/>
    </row>
    <row r="166" spans="1:9" ht="12.9" customHeight="1">
      <c r="A166" s="5"/>
      <c r="B166" s="28" t="s">
        <v>89</v>
      </c>
      <c r="C166" s="2"/>
      <c r="D166" s="2"/>
      <c r="E166" s="2"/>
      <c r="F166" s="26" t="s">
        <v>90</v>
      </c>
      <c r="G166" s="26" t="s">
        <v>90</v>
      </c>
      <c r="H166" s="26"/>
      <c r="I166" s="27"/>
    </row>
    <row r="167" spans="1:9" ht="12.9" customHeight="1">
      <c r="A167" s="5"/>
      <c r="B167" s="28" t="s">
        <v>88</v>
      </c>
      <c r="C167" s="2"/>
      <c r="D167" s="2"/>
      <c r="E167" s="2"/>
      <c r="F167" s="26" t="s">
        <v>90</v>
      </c>
      <c r="G167" s="26" t="s">
        <v>90</v>
      </c>
      <c r="H167" s="26"/>
      <c r="I167" s="27"/>
    </row>
    <row r="168" spans="1:9" ht="12.9" customHeight="1">
      <c r="A168" s="5"/>
      <c r="B168" s="13" t="s">
        <v>751</v>
      </c>
      <c r="C168" s="14"/>
      <c r="D168" s="14"/>
      <c r="E168" s="14"/>
      <c r="F168" s="5"/>
      <c r="G168" s="15"/>
      <c r="H168" s="15"/>
      <c r="I168" s="16"/>
    </row>
    <row r="169" spans="1:9" ht="12.9" customHeight="1">
      <c r="A169" s="17" t="s">
        <v>752</v>
      </c>
      <c r="B169" s="18" t="s">
        <v>753</v>
      </c>
      <c r="C169" s="14" t="s">
        <v>754</v>
      </c>
      <c r="D169" s="14" t="s">
        <v>755</v>
      </c>
      <c r="E169" s="19">
        <v>122</v>
      </c>
      <c r="F169" s="20">
        <v>12332.4627</v>
      </c>
      <c r="G169" s="21">
        <v>8.9999999999999993E-3</v>
      </c>
      <c r="H169" s="22">
        <v>7.3596999999999996E-2</v>
      </c>
      <c r="I169" s="41"/>
    </row>
    <row r="170" spans="1:9" ht="12.9" customHeight="1">
      <c r="A170" s="17" t="s">
        <v>756</v>
      </c>
      <c r="B170" s="18" t="s">
        <v>757</v>
      </c>
      <c r="C170" s="14" t="s">
        <v>758</v>
      </c>
      <c r="D170" s="14" t="s">
        <v>755</v>
      </c>
      <c r="E170" s="19">
        <v>121</v>
      </c>
      <c r="F170" s="20">
        <v>12228.2641</v>
      </c>
      <c r="G170" s="21">
        <v>8.8999999999999999E-3</v>
      </c>
      <c r="H170" s="22">
        <v>7.4996999999999994E-2</v>
      </c>
      <c r="I170" s="41"/>
    </row>
    <row r="171" spans="1:9" ht="12.9" customHeight="1">
      <c r="A171" s="17" t="s">
        <v>759</v>
      </c>
      <c r="B171" s="18" t="s">
        <v>760</v>
      </c>
      <c r="C171" s="14" t="s">
        <v>761</v>
      </c>
      <c r="D171" s="14" t="s">
        <v>755</v>
      </c>
      <c r="E171" s="19">
        <v>78</v>
      </c>
      <c r="F171" s="20">
        <v>7859.3050000000003</v>
      </c>
      <c r="G171" s="21">
        <v>5.7999999999999996E-3</v>
      </c>
      <c r="H171" s="22">
        <v>7.3246000000000006E-2</v>
      </c>
      <c r="I171" s="41"/>
    </row>
    <row r="172" spans="1:9" ht="12.9" customHeight="1">
      <c r="A172" s="5"/>
      <c r="B172" s="13" t="s">
        <v>88</v>
      </c>
      <c r="C172" s="14"/>
      <c r="D172" s="14"/>
      <c r="E172" s="14"/>
      <c r="F172" s="24">
        <v>32420.0317</v>
      </c>
      <c r="G172" s="25">
        <v>2.3699999999999999E-2</v>
      </c>
      <c r="H172" s="26"/>
      <c r="I172" s="27"/>
    </row>
    <row r="173" spans="1:9" ht="12.9" customHeight="1">
      <c r="A173" s="5"/>
      <c r="B173" s="28" t="s">
        <v>91</v>
      </c>
      <c r="C173" s="29"/>
      <c r="D173" s="2"/>
      <c r="E173" s="29"/>
      <c r="F173" s="24">
        <v>1198422.1491</v>
      </c>
      <c r="G173" s="25">
        <v>0.877</v>
      </c>
      <c r="H173" s="26"/>
      <c r="I173" s="27"/>
    </row>
    <row r="174" spans="1:9" ht="12.9" customHeight="1">
      <c r="A174" s="5"/>
      <c r="B174" s="13" t="s">
        <v>311</v>
      </c>
      <c r="C174" s="14"/>
      <c r="D174" s="14"/>
      <c r="E174" s="14"/>
      <c r="F174" s="14"/>
      <c r="G174" s="14"/>
      <c r="H174" s="15"/>
      <c r="I174" s="16"/>
    </row>
    <row r="175" spans="1:9" ht="12.9" customHeight="1">
      <c r="A175" s="5"/>
      <c r="B175" s="13" t="s">
        <v>762</v>
      </c>
      <c r="C175" s="14"/>
      <c r="D175" s="14"/>
      <c r="E175" s="14"/>
      <c r="F175" s="5"/>
      <c r="G175" s="15"/>
      <c r="H175" s="15"/>
      <c r="I175" s="16"/>
    </row>
    <row r="176" spans="1:9" ht="12.9" customHeight="1">
      <c r="A176" s="17" t="s">
        <v>763</v>
      </c>
      <c r="B176" s="18" t="s">
        <v>764</v>
      </c>
      <c r="C176" s="14" t="s">
        <v>765</v>
      </c>
      <c r="D176" s="14" t="s">
        <v>766</v>
      </c>
      <c r="E176" s="19">
        <v>3500</v>
      </c>
      <c r="F176" s="20">
        <v>17297.314999999999</v>
      </c>
      <c r="G176" s="21">
        <v>1.2699999999999999E-2</v>
      </c>
      <c r="H176" s="22">
        <v>6.1100000000000002E-2</v>
      </c>
      <c r="I176" s="41"/>
    </row>
    <row r="177" spans="1:9" ht="12.9" customHeight="1">
      <c r="A177" s="17" t="s">
        <v>767</v>
      </c>
      <c r="B177" s="18" t="s">
        <v>768</v>
      </c>
      <c r="C177" s="14" t="s">
        <v>769</v>
      </c>
      <c r="D177" s="14" t="s">
        <v>770</v>
      </c>
      <c r="E177" s="19">
        <v>3000</v>
      </c>
      <c r="F177" s="20">
        <v>14789.19</v>
      </c>
      <c r="G177" s="21">
        <v>1.0800000000000001E-2</v>
      </c>
      <c r="H177" s="22">
        <v>6.0499999999999998E-2</v>
      </c>
      <c r="I177" s="41"/>
    </row>
    <row r="178" spans="1:9" ht="12.9" customHeight="1">
      <c r="A178" s="17" t="s">
        <v>771</v>
      </c>
      <c r="B178" s="18" t="s">
        <v>772</v>
      </c>
      <c r="C178" s="14" t="s">
        <v>773</v>
      </c>
      <c r="D178" s="14" t="s">
        <v>766</v>
      </c>
      <c r="E178" s="19">
        <v>3000</v>
      </c>
      <c r="F178" s="20">
        <v>14574.24</v>
      </c>
      <c r="G178" s="21">
        <v>1.0699999999999999E-2</v>
      </c>
      <c r="H178" s="22">
        <v>6.3850000000000004E-2</v>
      </c>
      <c r="I178" s="41"/>
    </row>
    <row r="179" spans="1:9" ht="12.9" customHeight="1">
      <c r="A179" s="17" t="s">
        <v>774</v>
      </c>
      <c r="B179" s="18" t="s">
        <v>775</v>
      </c>
      <c r="C179" s="14" t="s">
        <v>776</v>
      </c>
      <c r="D179" s="14" t="s">
        <v>770</v>
      </c>
      <c r="E179" s="19">
        <v>2000</v>
      </c>
      <c r="F179" s="20">
        <v>9915.51</v>
      </c>
      <c r="G179" s="21">
        <v>7.3000000000000001E-3</v>
      </c>
      <c r="H179" s="22">
        <v>6.2203000000000001E-2</v>
      </c>
      <c r="I179" s="41"/>
    </row>
    <row r="180" spans="1:9" ht="12.9" customHeight="1">
      <c r="A180" s="17" t="s">
        <v>777</v>
      </c>
      <c r="B180" s="18" t="s">
        <v>778</v>
      </c>
      <c r="C180" s="14" t="s">
        <v>779</v>
      </c>
      <c r="D180" s="14" t="s">
        <v>770</v>
      </c>
      <c r="E180" s="19">
        <v>2000</v>
      </c>
      <c r="F180" s="20">
        <v>9869.14</v>
      </c>
      <c r="G180" s="21">
        <v>7.1999999999999998E-3</v>
      </c>
      <c r="H180" s="22">
        <v>6.0498999999999997E-2</v>
      </c>
      <c r="I180" s="41"/>
    </row>
    <row r="181" spans="1:9" ht="12.9" customHeight="1">
      <c r="A181" s="17" t="s">
        <v>780</v>
      </c>
      <c r="B181" s="18" t="s">
        <v>781</v>
      </c>
      <c r="C181" s="14" t="s">
        <v>782</v>
      </c>
      <c r="D181" s="14" t="s">
        <v>770</v>
      </c>
      <c r="E181" s="19">
        <v>2000</v>
      </c>
      <c r="F181" s="20">
        <v>9849.19</v>
      </c>
      <c r="G181" s="21">
        <v>7.1999999999999998E-3</v>
      </c>
      <c r="H181" s="22">
        <v>6.0749999999999998E-2</v>
      </c>
      <c r="I181" s="41"/>
    </row>
    <row r="182" spans="1:9" ht="12.9" customHeight="1">
      <c r="A182" s="17" t="s">
        <v>783</v>
      </c>
      <c r="B182" s="18" t="s">
        <v>784</v>
      </c>
      <c r="C182" s="14" t="s">
        <v>785</v>
      </c>
      <c r="D182" s="14" t="s">
        <v>770</v>
      </c>
      <c r="E182" s="19">
        <v>2000</v>
      </c>
      <c r="F182" s="20">
        <v>9848.31</v>
      </c>
      <c r="G182" s="21">
        <v>7.1999999999999998E-3</v>
      </c>
      <c r="H182" s="22">
        <v>6.0450999999999998E-2</v>
      </c>
      <c r="I182" s="41"/>
    </row>
    <row r="183" spans="1:9" ht="12.9" customHeight="1">
      <c r="A183" s="17" t="s">
        <v>786</v>
      </c>
      <c r="B183" s="18" t="s">
        <v>787</v>
      </c>
      <c r="C183" s="14" t="s">
        <v>788</v>
      </c>
      <c r="D183" s="14" t="s">
        <v>770</v>
      </c>
      <c r="E183" s="19">
        <v>1500</v>
      </c>
      <c r="F183" s="20">
        <v>7384.89</v>
      </c>
      <c r="G183" s="21">
        <v>5.4000000000000003E-3</v>
      </c>
      <c r="H183" s="22">
        <v>6.0525000000000002E-2</v>
      </c>
      <c r="I183" s="41"/>
    </row>
    <row r="184" spans="1:9" ht="12.9" customHeight="1">
      <c r="A184" s="5"/>
      <c r="B184" s="13" t="s">
        <v>88</v>
      </c>
      <c r="C184" s="14"/>
      <c r="D184" s="14"/>
      <c r="E184" s="14"/>
      <c r="F184" s="24">
        <v>93527.785000000003</v>
      </c>
      <c r="G184" s="25">
        <v>6.8400000000000002E-2</v>
      </c>
      <c r="H184" s="26"/>
      <c r="I184" s="27"/>
    </row>
    <row r="185" spans="1:9" ht="12.9" customHeight="1">
      <c r="A185" s="5"/>
      <c r="B185" s="28" t="s">
        <v>91</v>
      </c>
      <c r="C185" s="29"/>
      <c r="D185" s="2"/>
      <c r="E185" s="29"/>
      <c r="F185" s="24">
        <v>93527.785000000003</v>
      </c>
      <c r="G185" s="25">
        <v>6.8400000000000002E-2</v>
      </c>
      <c r="H185" s="26"/>
      <c r="I185" s="27"/>
    </row>
    <row r="186" spans="1:9" ht="12.9" customHeight="1">
      <c r="A186" s="5"/>
      <c r="B186" s="13" t="s">
        <v>285</v>
      </c>
      <c r="C186" s="14"/>
      <c r="D186" s="14"/>
      <c r="E186" s="14"/>
      <c r="F186" s="14"/>
      <c r="G186" s="14"/>
      <c r="H186" s="15"/>
      <c r="I186" s="16"/>
    </row>
    <row r="187" spans="1:9" ht="12.9" customHeight="1">
      <c r="A187" s="5"/>
      <c r="B187" s="13" t="s">
        <v>789</v>
      </c>
      <c r="C187" s="14"/>
      <c r="D187" s="14"/>
      <c r="E187" s="14"/>
      <c r="F187" s="5"/>
      <c r="G187" s="15"/>
      <c r="H187" s="15"/>
      <c r="I187" s="16"/>
    </row>
    <row r="188" spans="1:9" ht="12.9" customHeight="1">
      <c r="A188" s="17" t="s">
        <v>790</v>
      </c>
      <c r="B188" s="18" t="s">
        <v>791</v>
      </c>
      <c r="C188" s="14" t="s">
        <v>792</v>
      </c>
      <c r="D188" s="14"/>
      <c r="E188" s="19">
        <v>35306.678</v>
      </c>
      <c r="F188" s="20">
        <v>4066.9789000000001</v>
      </c>
      <c r="G188" s="21">
        <v>3.0000000000000001E-3</v>
      </c>
      <c r="H188" s="22"/>
      <c r="I188" s="41"/>
    </row>
    <row r="189" spans="1:9" ht="12.9" customHeight="1">
      <c r="A189" s="5"/>
      <c r="B189" s="13" t="s">
        <v>88</v>
      </c>
      <c r="C189" s="14"/>
      <c r="D189" s="14"/>
      <c r="E189" s="14"/>
      <c r="F189" s="24">
        <v>4066.9789000000001</v>
      </c>
      <c r="G189" s="25">
        <v>3.0000000000000001E-3</v>
      </c>
      <c r="H189" s="26"/>
      <c r="I189" s="27"/>
    </row>
    <row r="190" spans="1:9" ht="12.9" customHeight="1">
      <c r="A190" s="5"/>
      <c r="B190" s="28" t="s">
        <v>91</v>
      </c>
      <c r="C190" s="29"/>
      <c r="D190" s="2"/>
      <c r="E190" s="29"/>
      <c r="F190" s="24">
        <v>4066.9789000000001</v>
      </c>
      <c r="G190" s="25">
        <v>3.0000000000000001E-3</v>
      </c>
      <c r="H190" s="26"/>
      <c r="I190" s="27"/>
    </row>
    <row r="191" spans="1:9" ht="12.9" customHeight="1">
      <c r="A191" s="5"/>
      <c r="B191" s="13" t="s">
        <v>92</v>
      </c>
      <c r="C191" s="14"/>
      <c r="D191" s="14"/>
      <c r="E191" s="14"/>
      <c r="F191" s="14"/>
      <c r="G191" s="14"/>
      <c r="H191" s="15"/>
      <c r="I191" s="16"/>
    </row>
    <row r="192" spans="1:9" ht="12.9" customHeight="1">
      <c r="A192" s="17" t="s">
        <v>93</v>
      </c>
      <c r="B192" s="18" t="s">
        <v>94</v>
      </c>
      <c r="C192" s="14"/>
      <c r="D192" s="14"/>
      <c r="E192" s="19"/>
      <c r="F192" s="20">
        <v>34549.22</v>
      </c>
      <c r="G192" s="21">
        <v>2.53E-2</v>
      </c>
      <c r="H192" s="22">
        <v>5.0765163589084526E-2</v>
      </c>
      <c r="I192" s="41"/>
    </row>
    <row r="193" spans="1:9" ht="12.9" customHeight="1">
      <c r="A193" s="5"/>
      <c r="B193" s="13" t="s">
        <v>88</v>
      </c>
      <c r="C193" s="14"/>
      <c r="D193" s="14"/>
      <c r="E193" s="14"/>
      <c r="F193" s="24">
        <v>34549.22</v>
      </c>
      <c r="G193" s="25">
        <v>2.53E-2</v>
      </c>
      <c r="H193" s="26"/>
      <c r="I193" s="27"/>
    </row>
    <row r="194" spans="1:9" ht="12.9" customHeight="1">
      <c r="A194" s="5"/>
      <c r="B194" s="28" t="s">
        <v>91</v>
      </c>
      <c r="C194" s="29"/>
      <c r="D194" s="2"/>
      <c r="E194" s="29"/>
      <c r="F194" s="24">
        <v>34549.22</v>
      </c>
      <c r="G194" s="25">
        <v>2.53E-2</v>
      </c>
      <c r="H194" s="26"/>
      <c r="I194" s="27"/>
    </row>
    <row r="195" spans="1:9" ht="12.9" customHeight="1">
      <c r="A195" s="5"/>
      <c r="B195" s="28" t="s">
        <v>96</v>
      </c>
      <c r="C195" s="14"/>
      <c r="D195" s="2"/>
      <c r="E195" s="14"/>
      <c r="F195" s="31">
        <v>36012.256999999998</v>
      </c>
      <c r="G195" s="25">
        <v>2.64E-2</v>
      </c>
      <c r="H195" s="26"/>
      <c r="I195" s="27"/>
    </row>
    <row r="196" spans="1:9" ht="12.9" customHeight="1">
      <c r="A196" s="5"/>
      <c r="B196" s="32" t="s">
        <v>97</v>
      </c>
      <c r="C196" s="33"/>
      <c r="D196" s="33"/>
      <c r="E196" s="33"/>
      <c r="F196" s="34">
        <v>1366424.32</v>
      </c>
      <c r="G196" s="35">
        <v>1</v>
      </c>
      <c r="H196" s="36"/>
      <c r="I196" s="37"/>
    </row>
    <row r="197" spans="1:9" ht="12.9" customHeight="1">
      <c r="A197" s="5"/>
      <c r="B197" s="7"/>
      <c r="C197" s="5"/>
      <c r="D197" s="5"/>
      <c r="E197" s="5"/>
      <c r="F197" s="5"/>
      <c r="G197" s="5"/>
      <c r="H197" s="5"/>
      <c r="I197" s="5"/>
    </row>
    <row r="198" spans="1:9" ht="12.9" customHeight="1">
      <c r="A198" s="5"/>
      <c r="B198" s="4" t="s">
        <v>793</v>
      </c>
      <c r="C198" s="5"/>
      <c r="D198" s="5"/>
      <c r="E198" s="5"/>
      <c r="F198" s="5"/>
      <c r="G198" s="5"/>
      <c r="H198" s="5"/>
      <c r="I198" s="5"/>
    </row>
    <row r="199" spans="1:9" ht="12.9" customHeight="1">
      <c r="A199" s="5"/>
      <c r="B199" s="4" t="s">
        <v>146</v>
      </c>
      <c r="C199" s="5"/>
      <c r="D199" s="5"/>
      <c r="E199" s="5"/>
      <c r="F199" s="5"/>
      <c r="G199" s="5"/>
      <c r="H199" s="5"/>
      <c r="I199" s="5"/>
    </row>
    <row r="200" spans="1:9" ht="12.9" customHeight="1">
      <c r="A200" s="5"/>
      <c r="B200" s="4" t="s">
        <v>98</v>
      </c>
      <c r="C200" s="5"/>
      <c r="D200" s="5"/>
      <c r="E200" s="5"/>
      <c r="F200" s="5"/>
      <c r="G200" s="5"/>
      <c r="H200" s="5"/>
      <c r="I200" s="5"/>
    </row>
    <row r="201" spans="1:9" ht="12.9" customHeight="1">
      <c r="A201" s="5"/>
      <c r="B201" s="4" t="s">
        <v>99</v>
      </c>
      <c r="C201" s="5"/>
      <c r="D201" s="5"/>
      <c r="E201" s="5"/>
      <c r="F201" s="5"/>
      <c r="G201" s="5"/>
      <c r="H201" s="5"/>
      <c r="I201" s="5"/>
    </row>
    <row r="202" spans="1:9" ht="26.1" customHeight="1">
      <c r="A202" s="5"/>
      <c r="B202" s="50" t="s">
        <v>100</v>
      </c>
      <c r="C202" s="50"/>
      <c r="D202" s="50"/>
      <c r="E202" s="50"/>
      <c r="F202" s="50"/>
      <c r="G202" s="50"/>
      <c r="H202" s="50"/>
      <c r="I202" s="50"/>
    </row>
    <row r="203" spans="1:9" ht="12.9" customHeight="1">
      <c r="A203" s="5"/>
      <c r="B203" s="50" t="s">
        <v>101</v>
      </c>
      <c r="C203" s="50"/>
      <c r="D203" s="50"/>
      <c r="E203" s="50"/>
      <c r="F203" s="50"/>
      <c r="G203" s="50"/>
      <c r="H203" s="50"/>
      <c r="I203" s="50"/>
    </row>
    <row r="204" spans="1:9" ht="12.9" customHeight="1">
      <c r="A204" s="5"/>
      <c r="B204" s="50"/>
      <c r="C204" s="50"/>
      <c r="D204" s="50"/>
      <c r="E204" s="50"/>
      <c r="F204" s="50"/>
      <c r="G204" s="50"/>
      <c r="H204" s="50"/>
      <c r="I204" s="50"/>
    </row>
    <row r="205" spans="1:9" ht="12.9" customHeight="1">
      <c r="A205" s="5"/>
      <c r="B205" s="50"/>
      <c r="C205" s="50"/>
      <c r="D205" s="50"/>
      <c r="E205" s="50"/>
      <c r="F205" s="50"/>
      <c r="G205" s="50"/>
      <c r="H205" s="50"/>
      <c r="I205" s="50"/>
    </row>
    <row r="206" spans="1:9" ht="12.9" customHeight="1">
      <c r="A206" s="5"/>
      <c r="B206" s="5"/>
      <c r="C206" s="51" t="s">
        <v>794</v>
      </c>
      <c r="D206" s="51"/>
      <c r="E206" s="51"/>
      <c r="F206" s="51"/>
      <c r="G206" s="5"/>
      <c r="H206" s="5"/>
      <c r="I206" s="5"/>
    </row>
    <row r="207" spans="1:9" ht="12.9" customHeight="1">
      <c r="A207" s="5"/>
      <c r="B207" s="38" t="s">
        <v>103</v>
      </c>
      <c r="C207" s="51" t="s">
        <v>104</v>
      </c>
      <c r="D207" s="51"/>
      <c r="E207" s="51"/>
      <c r="F207" s="51"/>
      <c r="G207" s="5"/>
      <c r="H207" s="5"/>
      <c r="I207" s="5"/>
    </row>
    <row r="208" spans="1:9" ht="135" customHeight="1">
      <c r="A208" s="5"/>
      <c r="B208" s="39"/>
      <c r="C208" s="52"/>
      <c r="D208" s="52"/>
      <c r="E208" s="5"/>
      <c r="F208" s="5"/>
      <c r="G208" s="5"/>
      <c r="H208" s="5"/>
      <c r="I208" s="5"/>
    </row>
  </sheetData>
  <mergeCells count="7">
    <mergeCell ref="B205:I205"/>
    <mergeCell ref="C206:F206"/>
    <mergeCell ref="C207:F207"/>
    <mergeCell ref="C208:D208"/>
    <mergeCell ref="B202:I202"/>
    <mergeCell ref="B203:I203"/>
    <mergeCell ref="B204:I204"/>
  </mergeCells>
  <hyperlinks>
    <hyperlink ref="A1" location="AxisBankingPSUDebtFund" display="AXISBDF" xr:uid="{00000000-0004-0000-0600-000000000000}"/>
    <hyperlink ref="B1" location="AxisBankingPSUDebtFund" display="Axis Banking &amp; PSU Debt Fund" xr:uid="{00000000-0004-0000-0600-000001000000}"/>
  </hyperlinks>
  <pageMargins left="0" right="0" top="0" bottom="0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29"/>
  <sheetViews>
    <sheetView workbookViewId="0">
      <selection activeCell="B26" sqref="B26:I26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13</v>
      </c>
      <c r="B1" s="4" t="s">
        <v>14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795</v>
      </c>
      <c r="B7" s="18" t="s">
        <v>796</v>
      </c>
      <c r="C7" s="14" t="s">
        <v>797</v>
      </c>
      <c r="D7" s="14" t="s">
        <v>84</v>
      </c>
      <c r="E7" s="19">
        <v>500000</v>
      </c>
      <c r="F7" s="20">
        <v>507.44850000000002</v>
      </c>
      <c r="G7" s="21">
        <v>0.60129999999999995</v>
      </c>
      <c r="H7" s="22">
        <v>7.3783000000000001E-2</v>
      </c>
      <c r="I7" s="23"/>
    </row>
    <row r="8" spans="1:9" ht="12.9" customHeight="1">
      <c r="A8" s="17" t="s">
        <v>798</v>
      </c>
      <c r="B8" s="18" t="s">
        <v>799</v>
      </c>
      <c r="C8" s="14" t="s">
        <v>800</v>
      </c>
      <c r="D8" s="14" t="s">
        <v>84</v>
      </c>
      <c r="E8" s="19">
        <v>80000</v>
      </c>
      <c r="F8" s="20">
        <v>82.352999999999994</v>
      </c>
      <c r="G8" s="21">
        <v>9.7600000000000006E-2</v>
      </c>
      <c r="H8" s="22">
        <v>7.3783000000000001E-2</v>
      </c>
      <c r="I8" s="23"/>
    </row>
    <row r="9" spans="1:9" ht="12.9" customHeight="1">
      <c r="A9" s="17" t="s">
        <v>801</v>
      </c>
      <c r="B9" s="18" t="s">
        <v>802</v>
      </c>
      <c r="C9" s="14" t="s">
        <v>803</v>
      </c>
      <c r="D9" s="14" t="s">
        <v>84</v>
      </c>
      <c r="E9" s="19">
        <v>70000</v>
      </c>
      <c r="F9" s="20">
        <v>72.914900000000003</v>
      </c>
      <c r="G9" s="21">
        <v>8.6400000000000005E-2</v>
      </c>
      <c r="H9" s="22">
        <v>7.4081999999999995E-2</v>
      </c>
      <c r="I9" s="23"/>
    </row>
    <row r="10" spans="1:9" ht="12.9" customHeight="1">
      <c r="A10" s="17" t="s">
        <v>804</v>
      </c>
      <c r="B10" s="18" t="s">
        <v>805</v>
      </c>
      <c r="C10" s="14" t="s">
        <v>806</v>
      </c>
      <c r="D10" s="14" t="s">
        <v>84</v>
      </c>
      <c r="E10" s="19">
        <v>62300</v>
      </c>
      <c r="F10" s="20">
        <v>63.048900000000003</v>
      </c>
      <c r="G10" s="21">
        <v>7.4700000000000003E-2</v>
      </c>
      <c r="H10" s="22">
        <v>7.3783000000000001E-2</v>
      </c>
      <c r="I10" s="23"/>
    </row>
    <row r="11" spans="1:9" ht="12.9" customHeight="1">
      <c r="A11" s="17" t="s">
        <v>807</v>
      </c>
      <c r="B11" s="18" t="s">
        <v>808</v>
      </c>
      <c r="C11" s="14" t="s">
        <v>809</v>
      </c>
      <c r="D11" s="14" t="s">
        <v>84</v>
      </c>
      <c r="E11" s="19">
        <v>50000</v>
      </c>
      <c r="F11" s="20">
        <v>51.967599999999997</v>
      </c>
      <c r="G11" s="21">
        <v>6.1600000000000002E-2</v>
      </c>
      <c r="H11" s="22">
        <v>7.4002999999999999E-2</v>
      </c>
      <c r="I11" s="23"/>
    </row>
    <row r="12" spans="1:9" ht="12.9" customHeight="1">
      <c r="A12" s="17" t="s">
        <v>810</v>
      </c>
      <c r="B12" s="18" t="s">
        <v>811</v>
      </c>
      <c r="C12" s="14" t="s">
        <v>812</v>
      </c>
      <c r="D12" s="14" t="s">
        <v>84</v>
      </c>
      <c r="E12" s="19">
        <v>30000</v>
      </c>
      <c r="F12" s="20">
        <v>30.337499999999999</v>
      </c>
      <c r="G12" s="21">
        <v>3.5900000000000001E-2</v>
      </c>
      <c r="H12" s="22">
        <v>7.3783000000000001E-2</v>
      </c>
      <c r="I12" s="23"/>
    </row>
    <row r="13" spans="1:9" ht="12.9" customHeight="1">
      <c r="A13" s="17" t="s">
        <v>813</v>
      </c>
      <c r="B13" s="18" t="s">
        <v>814</v>
      </c>
      <c r="C13" s="14" t="s">
        <v>815</v>
      </c>
      <c r="D13" s="14" t="s">
        <v>84</v>
      </c>
      <c r="E13" s="19">
        <v>22800</v>
      </c>
      <c r="F13" s="20">
        <v>23.064900000000002</v>
      </c>
      <c r="G13" s="21">
        <v>2.7300000000000001E-2</v>
      </c>
      <c r="H13" s="22">
        <v>7.3783000000000001E-2</v>
      </c>
      <c r="I13" s="23"/>
    </row>
    <row r="14" spans="1:9" ht="12.9" customHeight="1">
      <c r="A14" s="5"/>
      <c r="B14" s="13" t="s">
        <v>88</v>
      </c>
      <c r="C14" s="14"/>
      <c r="D14" s="14"/>
      <c r="E14" s="14"/>
      <c r="F14" s="24">
        <v>831.13520000000005</v>
      </c>
      <c r="G14" s="25">
        <v>0.9849</v>
      </c>
      <c r="H14" s="26"/>
      <c r="I14" s="27"/>
    </row>
    <row r="15" spans="1:9" ht="12.9" customHeight="1">
      <c r="A15" s="5"/>
      <c r="B15" s="28" t="s">
        <v>89</v>
      </c>
      <c r="C15" s="2"/>
      <c r="D15" s="2"/>
      <c r="E15" s="2"/>
      <c r="F15" s="26" t="s">
        <v>90</v>
      </c>
      <c r="G15" s="26" t="s">
        <v>90</v>
      </c>
      <c r="H15" s="26"/>
      <c r="I15" s="27"/>
    </row>
    <row r="16" spans="1:9" ht="12.9" customHeight="1">
      <c r="A16" s="5"/>
      <c r="B16" s="28" t="s">
        <v>88</v>
      </c>
      <c r="C16" s="2"/>
      <c r="D16" s="2"/>
      <c r="E16" s="2"/>
      <c r="F16" s="26" t="s">
        <v>90</v>
      </c>
      <c r="G16" s="26" t="s">
        <v>90</v>
      </c>
      <c r="H16" s="26"/>
      <c r="I16" s="27"/>
    </row>
    <row r="17" spans="1:9" ht="12.9" customHeight="1">
      <c r="A17" s="5"/>
      <c r="B17" s="28" t="s">
        <v>91</v>
      </c>
      <c r="C17" s="29"/>
      <c r="D17" s="2"/>
      <c r="E17" s="29"/>
      <c r="F17" s="24">
        <v>831.13520000000005</v>
      </c>
      <c r="G17" s="25">
        <v>0.9849</v>
      </c>
      <c r="H17" s="26"/>
      <c r="I17" s="27"/>
    </row>
    <row r="18" spans="1:9" ht="12.9" customHeight="1">
      <c r="A18" s="5"/>
      <c r="B18" s="28" t="s">
        <v>96</v>
      </c>
      <c r="C18" s="14"/>
      <c r="D18" s="2"/>
      <c r="E18" s="14"/>
      <c r="F18" s="31">
        <v>12.774800000000001</v>
      </c>
      <c r="G18" s="25">
        <v>1.5100000000000001E-2</v>
      </c>
      <c r="H18" s="26"/>
      <c r="I18" s="27"/>
    </row>
    <row r="19" spans="1:9" ht="12.9" customHeight="1">
      <c r="A19" s="5"/>
      <c r="B19" s="32" t="s">
        <v>97</v>
      </c>
      <c r="C19" s="33"/>
      <c r="D19" s="33"/>
      <c r="E19" s="33"/>
      <c r="F19" s="34">
        <v>843.91</v>
      </c>
      <c r="G19" s="35">
        <v>1</v>
      </c>
      <c r="H19" s="36"/>
      <c r="I19" s="37"/>
    </row>
    <row r="20" spans="1:9" ht="12.9" customHeight="1">
      <c r="A20" s="5"/>
      <c r="B20" s="7"/>
      <c r="C20" s="5"/>
      <c r="D20" s="5"/>
      <c r="E20" s="5"/>
      <c r="F20" s="5"/>
      <c r="G20" s="5"/>
      <c r="H20" s="5"/>
      <c r="I20" s="5"/>
    </row>
    <row r="21" spans="1:9" ht="12.9" customHeight="1">
      <c r="A21" s="5"/>
      <c r="B21" s="4" t="s">
        <v>99</v>
      </c>
      <c r="C21" s="5"/>
      <c r="D21" s="5"/>
      <c r="E21" s="5"/>
      <c r="F21" s="5"/>
      <c r="G21" s="5"/>
      <c r="H21" s="5"/>
      <c r="I21" s="5"/>
    </row>
    <row r="22" spans="1:9" ht="26.1" customHeight="1">
      <c r="A22" s="5"/>
      <c r="B22" s="50" t="s">
        <v>100</v>
      </c>
      <c r="C22" s="50"/>
      <c r="D22" s="50"/>
      <c r="E22" s="50"/>
      <c r="F22" s="50"/>
      <c r="G22" s="50"/>
      <c r="H22" s="50"/>
      <c r="I22" s="50"/>
    </row>
    <row r="23" spans="1:9" ht="12.9" customHeight="1">
      <c r="A23" s="5"/>
      <c r="B23" s="50" t="s">
        <v>101</v>
      </c>
      <c r="C23" s="50"/>
      <c r="D23" s="50"/>
      <c r="E23" s="50"/>
      <c r="F23" s="50"/>
      <c r="G23" s="50"/>
      <c r="H23" s="50"/>
      <c r="I23" s="50"/>
    </row>
    <row r="24" spans="1:9" ht="12.9" customHeight="1">
      <c r="A24" s="5"/>
      <c r="B24" s="50" t="s">
        <v>816</v>
      </c>
      <c r="C24" s="50"/>
      <c r="D24" s="50"/>
      <c r="E24" s="50"/>
      <c r="F24" s="50"/>
      <c r="G24" s="5"/>
      <c r="H24" s="5"/>
      <c r="I24" s="5"/>
    </row>
    <row r="25" spans="1:9" ht="12.9" customHeight="1">
      <c r="A25" s="5"/>
      <c r="B25" s="50"/>
      <c r="C25" s="50"/>
      <c r="D25" s="50"/>
      <c r="E25" s="50"/>
      <c r="F25" s="50"/>
      <c r="G25" s="50"/>
      <c r="H25" s="50"/>
      <c r="I25" s="50"/>
    </row>
    <row r="26" spans="1:9" ht="12.9" customHeight="1">
      <c r="A26" s="5"/>
      <c r="B26" s="50"/>
      <c r="C26" s="50"/>
      <c r="D26" s="50"/>
      <c r="E26" s="50"/>
      <c r="F26" s="50"/>
      <c r="G26" s="50"/>
      <c r="H26" s="50"/>
      <c r="I26" s="50"/>
    </row>
    <row r="27" spans="1:9" ht="12.9" customHeight="1">
      <c r="A27" s="5"/>
      <c r="B27" s="5"/>
      <c r="C27" s="51" t="s">
        <v>817</v>
      </c>
      <c r="D27" s="51"/>
      <c r="E27" s="51"/>
      <c r="F27" s="51"/>
      <c r="G27" s="5"/>
      <c r="H27" s="5"/>
      <c r="I27" s="5"/>
    </row>
    <row r="28" spans="1:9" ht="12.9" customHeight="1">
      <c r="A28" s="5"/>
      <c r="B28" s="38" t="s">
        <v>103</v>
      </c>
      <c r="C28" s="51" t="s">
        <v>104</v>
      </c>
      <c r="D28" s="51"/>
      <c r="E28" s="51"/>
      <c r="F28" s="51"/>
      <c r="G28" s="5"/>
      <c r="H28" s="5"/>
      <c r="I28" s="5"/>
    </row>
    <row r="29" spans="1:9" ht="135" customHeight="1">
      <c r="A29" s="5"/>
      <c r="B29" s="39"/>
      <c r="C29" s="52"/>
      <c r="D29" s="52"/>
      <c r="E29" s="5"/>
      <c r="F29" s="5"/>
      <c r="G29" s="5"/>
      <c r="H29" s="5"/>
      <c r="I29" s="5"/>
    </row>
  </sheetData>
  <mergeCells count="8">
    <mergeCell ref="C27:F27"/>
    <mergeCell ref="C28:F28"/>
    <mergeCell ref="C29:D29"/>
    <mergeCell ref="B22:I22"/>
    <mergeCell ref="B23:I23"/>
    <mergeCell ref="B24:F24"/>
    <mergeCell ref="B25:I25"/>
    <mergeCell ref="B26:I26"/>
  </mergeCells>
  <hyperlinks>
    <hyperlink ref="A1" location="AxisCRISILIBXSDLJune2034DebtIndexFund" display="AXISCBS" xr:uid="{00000000-0004-0000-0900-000000000000}"/>
    <hyperlink ref="B1" location="AxisCRISILIBXSDLJune2034DebtIndexFund" display="Axis CRISIL IBX SDL June 2034 Debt Index Fund" xr:uid="{00000000-0004-0000-0900-000001000000}"/>
  </hyperlinks>
  <pageMargins left="0" right="0" top="0" bottom="0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47"/>
  <sheetViews>
    <sheetView workbookViewId="0">
      <selection activeCell="B41" sqref="B41:I41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15</v>
      </c>
      <c r="B1" s="4" t="s">
        <v>16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818</v>
      </c>
      <c r="B7" s="18" t="s">
        <v>819</v>
      </c>
      <c r="C7" s="14" t="s">
        <v>820</v>
      </c>
      <c r="D7" s="14" t="s">
        <v>109</v>
      </c>
      <c r="E7" s="19">
        <v>13100</v>
      </c>
      <c r="F7" s="20">
        <v>13261.522999999999</v>
      </c>
      <c r="G7" s="21">
        <v>9.2100000000000001E-2</v>
      </c>
      <c r="H7" s="22">
        <v>7.1800000000000003E-2</v>
      </c>
      <c r="I7" s="23"/>
    </row>
    <row r="8" spans="1:9" ht="12.9" customHeight="1">
      <c r="A8" s="17" t="s">
        <v>727</v>
      </c>
      <c r="B8" s="18" t="s">
        <v>728</v>
      </c>
      <c r="C8" s="14" t="s">
        <v>729</v>
      </c>
      <c r="D8" s="14" t="s">
        <v>109</v>
      </c>
      <c r="E8" s="19">
        <v>12500</v>
      </c>
      <c r="F8" s="20">
        <v>12672.3</v>
      </c>
      <c r="G8" s="21">
        <v>8.7999999999999995E-2</v>
      </c>
      <c r="H8" s="22">
        <v>7.1599999999999997E-2</v>
      </c>
      <c r="I8" s="23"/>
    </row>
    <row r="9" spans="1:9" ht="12.9" customHeight="1">
      <c r="A9" s="17" t="s">
        <v>821</v>
      </c>
      <c r="B9" s="18" t="s">
        <v>822</v>
      </c>
      <c r="C9" s="14" t="s">
        <v>823</v>
      </c>
      <c r="D9" s="14" t="s">
        <v>109</v>
      </c>
      <c r="E9" s="19">
        <v>12500</v>
      </c>
      <c r="F9" s="20">
        <v>12496.15</v>
      </c>
      <c r="G9" s="21">
        <v>8.6800000000000002E-2</v>
      </c>
      <c r="H9" s="22">
        <v>7.1800000000000003E-2</v>
      </c>
      <c r="I9" s="23"/>
    </row>
    <row r="10" spans="1:9" ht="12.9" customHeight="1">
      <c r="A10" s="17" t="s">
        <v>824</v>
      </c>
      <c r="B10" s="18" t="s">
        <v>825</v>
      </c>
      <c r="C10" s="14" t="s">
        <v>826</v>
      </c>
      <c r="D10" s="14" t="s">
        <v>372</v>
      </c>
      <c r="E10" s="19">
        <v>12500</v>
      </c>
      <c r="F10" s="20">
        <v>12481.9125</v>
      </c>
      <c r="G10" s="21">
        <v>8.6699999999999999E-2</v>
      </c>
      <c r="H10" s="22">
        <v>7.2675000000000003E-2</v>
      </c>
      <c r="I10" s="23"/>
    </row>
    <row r="11" spans="1:9" ht="12.9" customHeight="1">
      <c r="A11" s="17" t="s">
        <v>827</v>
      </c>
      <c r="B11" s="18" t="s">
        <v>828</v>
      </c>
      <c r="C11" s="14" t="s">
        <v>829</v>
      </c>
      <c r="D11" s="14" t="s">
        <v>109</v>
      </c>
      <c r="E11" s="19">
        <v>11500</v>
      </c>
      <c r="F11" s="20">
        <v>11645.7855</v>
      </c>
      <c r="G11" s="21">
        <v>8.09E-2</v>
      </c>
      <c r="H11" s="22">
        <v>7.2907E-2</v>
      </c>
      <c r="I11" s="23"/>
    </row>
    <row r="12" spans="1:9" ht="12.9" customHeight="1">
      <c r="A12" s="17" t="s">
        <v>830</v>
      </c>
      <c r="B12" s="18" t="s">
        <v>831</v>
      </c>
      <c r="C12" s="14" t="s">
        <v>832</v>
      </c>
      <c r="D12" s="14" t="s">
        <v>109</v>
      </c>
      <c r="E12" s="19">
        <v>10400</v>
      </c>
      <c r="F12" s="20">
        <v>10540.722400000001</v>
      </c>
      <c r="G12" s="21">
        <v>7.3200000000000001E-2</v>
      </c>
      <c r="H12" s="22">
        <v>7.2800000000000004E-2</v>
      </c>
      <c r="I12" s="23"/>
    </row>
    <row r="13" spans="1:9" ht="12.9" customHeight="1">
      <c r="A13" s="17" t="s">
        <v>742</v>
      </c>
      <c r="B13" s="18" t="s">
        <v>743</v>
      </c>
      <c r="C13" s="14" t="s">
        <v>744</v>
      </c>
      <c r="D13" s="14" t="s">
        <v>109</v>
      </c>
      <c r="E13" s="19">
        <v>10358</v>
      </c>
      <c r="F13" s="20">
        <v>10487.8997</v>
      </c>
      <c r="G13" s="21">
        <v>7.2900000000000006E-2</v>
      </c>
      <c r="H13" s="22">
        <v>7.1849999999999997E-2</v>
      </c>
      <c r="I13" s="23"/>
    </row>
    <row r="14" spans="1:9" ht="12.9" customHeight="1">
      <c r="A14" s="17" t="s">
        <v>676</v>
      </c>
      <c r="B14" s="18" t="s">
        <v>677</v>
      </c>
      <c r="C14" s="14" t="s">
        <v>678</v>
      </c>
      <c r="D14" s="14" t="s">
        <v>372</v>
      </c>
      <c r="E14" s="19">
        <v>7500</v>
      </c>
      <c r="F14" s="20">
        <v>7599.63</v>
      </c>
      <c r="G14" s="21">
        <v>5.28E-2</v>
      </c>
      <c r="H14" s="22">
        <v>7.2692999999999994E-2</v>
      </c>
      <c r="I14" s="23"/>
    </row>
    <row r="15" spans="1:9" ht="12.9" customHeight="1">
      <c r="A15" s="17" t="s">
        <v>833</v>
      </c>
      <c r="B15" s="18" t="s">
        <v>834</v>
      </c>
      <c r="C15" s="14" t="s">
        <v>835</v>
      </c>
      <c r="D15" s="14" t="s">
        <v>372</v>
      </c>
      <c r="E15" s="19">
        <v>7500</v>
      </c>
      <c r="F15" s="20">
        <v>7594.0649999999996</v>
      </c>
      <c r="G15" s="21">
        <v>5.28E-2</v>
      </c>
      <c r="H15" s="22">
        <v>7.1650000000000005E-2</v>
      </c>
      <c r="I15" s="23"/>
    </row>
    <row r="16" spans="1:9" ht="12.9" customHeight="1">
      <c r="A16" s="17" t="s">
        <v>646</v>
      </c>
      <c r="B16" s="18" t="s">
        <v>647</v>
      </c>
      <c r="C16" s="14" t="s">
        <v>648</v>
      </c>
      <c r="D16" s="14" t="s">
        <v>109</v>
      </c>
      <c r="E16" s="19">
        <v>7500</v>
      </c>
      <c r="F16" s="20">
        <v>7478.1075000000001</v>
      </c>
      <c r="G16" s="21">
        <v>5.1999999999999998E-2</v>
      </c>
      <c r="H16" s="22">
        <v>7.1650000000000005E-2</v>
      </c>
      <c r="I16" s="23"/>
    </row>
    <row r="17" spans="1:9" ht="12.9" customHeight="1">
      <c r="A17" s="17" t="s">
        <v>836</v>
      </c>
      <c r="B17" s="18" t="s">
        <v>837</v>
      </c>
      <c r="C17" s="14" t="s">
        <v>838</v>
      </c>
      <c r="D17" s="14" t="s">
        <v>109</v>
      </c>
      <c r="E17" s="19">
        <v>6000</v>
      </c>
      <c r="F17" s="20">
        <v>6064.65</v>
      </c>
      <c r="G17" s="21">
        <v>4.2099999999999999E-2</v>
      </c>
      <c r="H17" s="22">
        <v>7.2907E-2</v>
      </c>
      <c r="I17" s="23"/>
    </row>
    <row r="18" spans="1:9" ht="12.9" customHeight="1">
      <c r="A18" s="17" t="s">
        <v>839</v>
      </c>
      <c r="B18" s="18" t="s">
        <v>840</v>
      </c>
      <c r="C18" s="14" t="s">
        <v>841</v>
      </c>
      <c r="D18" s="14" t="s">
        <v>109</v>
      </c>
      <c r="E18" s="19">
        <v>5000</v>
      </c>
      <c r="F18" s="20">
        <v>5064.42</v>
      </c>
      <c r="G18" s="21">
        <v>3.5200000000000002E-2</v>
      </c>
      <c r="H18" s="22">
        <v>7.3050000000000004E-2</v>
      </c>
      <c r="I18" s="23"/>
    </row>
    <row r="19" spans="1:9" ht="12.9" customHeight="1">
      <c r="A19" s="17" t="s">
        <v>842</v>
      </c>
      <c r="B19" s="18" t="s">
        <v>843</v>
      </c>
      <c r="C19" s="14" t="s">
        <v>844</v>
      </c>
      <c r="D19" s="14" t="s">
        <v>109</v>
      </c>
      <c r="E19" s="19">
        <v>5000</v>
      </c>
      <c r="F19" s="20">
        <v>5056.8549999999996</v>
      </c>
      <c r="G19" s="21">
        <v>3.5099999999999999E-2</v>
      </c>
      <c r="H19" s="22">
        <v>7.1800000000000003E-2</v>
      </c>
      <c r="I19" s="23"/>
    </row>
    <row r="20" spans="1:9" ht="12.9" customHeight="1">
      <c r="A20" s="17" t="s">
        <v>845</v>
      </c>
      <c r="B20" s="18" t="s">
        <v>846</v>
      </c>
      <c r="C20" s="14" t="s">
        <v>847</v>
      </c>
      <c r="D20" s="14" t="s">
        <v>109</v>
      </c>
      <c r="E20" s="19">
        <v>5000</v>
      </c>
      <c r="F20" s="20">
        <v>5042.8249999999998</v>
      </c>
      <c r="G20" s="21">
        <v>3.5000000000000003E-2</v>
      </c>
      <c r="H20" s="22">
        <v>7.2650000000000006E-2</v>
      </c>
      <c r="I20" s="23"/>
    </row>
    <row r="21" spans="1:9" ht="12.9" customHeight="1">
      <c r="A21" s="17" t="s">
        <v>848</v>
      </c>
      <c r="B21" s="18" t="s">
        <v>849</v>
      </c>
      <c r="C21" s="14" t="s">
        <v>850</v>
      </c>
      <c r="D21" s="14" t="s">
        <v>109</v>
      </c>
      <c r="E21" s="19">
        <v>4500</v>
      </c>
      <c r="F21" s="20">
        <v>4544.9459999999999</v>
      </c>
      <c r="G21" s="21">
        <v>3.1600000000000003E-2</v>
      </c>
      <c r="H21" s="22">
        <v>7.2499999999999995E-2</v>
      </c>
      <c r="I21" s="23"/>
    </row>
    <row r="22" spans="1:9" ht="12.9" customHeight="1">
      <c r="A22" s="17" t="s">
        <v>851</v>
      </c>
      <c r="B22" s="18" t="s">
        <v>852</v>
      </c>
      <c r="C22" s="14" t="s">
        <v>853</v>
      </c>
      <c r="D22" s="14" t="s">
        <v>109</v>
      </c>
      <c r="E22" s="19">
        <v>250</v>
      </c>
      <c r="F22" s="20">
        <v>2515.9250000000002</v>
      </c>
      <c r="G22" s="21">
        <v>1.7500000000000002E-2</v>
      </c>
      <c r="H22" s="22">
        <v>7.1800000000000003E-2</v>
      </c>
      <c r="I22" s="23"/>
    </row>
    <row r="23" spans="1:9" ht="12.9" customHeight="1">
      <c r="A23" s="17" t="s">
        <v>854</v>
      </c>
      <c r="B23" s="18" t="s">
        <v>855</v>
      </c>
      <c r="C23" s="14" t="s">
        <v>856</v>
      </c>
      <c r="D23" s="14" t="s">
        <v>109</v>
      </c>
      <c r="E23" s="19">
        <v>1500</v>
      </c>
      <c r="F23" s="20">
        <v>1521.165</v>
      </c>
      <c r="G23" s="21">
        <v>1.06E-2</v>
      </c>
      <c r="H23" s="22">
        <v>7.3050000000000004E-2</v>
      </c>
      <c r="I23" s="23"/>
    </row>
    <row r="24" spans="1:9" ht="12.9" customHeight="1">
      <c r="A24" s="17" t="s">
        <v>857</v>
      </c>
      <c r="B24" s="18" t="s">
        <v>858</v>
      </c>
      <c r="C24" s="14" t="s">
        <v>859</v>
      </c>
      <c r="D24" s="14" t="s">
        <v>109</v>
      </c>
      <c r="E24" s="19">
        <v>500</v>
      </c>
      <c r="F24" s="20">
        <v>506.15750000000003</v>
      </c>
      <c r="G24" s="21">
        <v>3.5000000000000001E-3</v>
      </c>
      <c r="H24" s="22">
        <v>7.1800000000000003E-2</v>
      </c>
      <c r="I24" s="23"/>
    </row>
    <row r="25" spans="1:9" ht="12.9" customHeight="1">
      <c r="A25" s="17" t="s">
        <v>860</v>
      </c>
      <c r="B25" s="18" t="s">
        <v>861</v>
      </c>
      <c r="C25" s="14" t="s">
        <v>862</v>
      </c>
      <c r="D25" s="14" t="s">
        <v>109</v>
      </c>
      <c r="E25" s="19">
        <v>300</v>
      </c>
      <c r="F25" s="20">
        <v>302.92169999999999</v>
      </c>
      <c r="G25" s="21">
        <v>2.0999999999999999E-3</v>
      </c>
      <c r="H25" s="22">
        <v>7.0999999999999994E-2</v>
      </c>
      <c r="I25" s="23"/>
    </row>
    <row r="26" spans="1:9" ht="12.9" customHeight="1">
      <c r="A26" s="5"/>
      <c r="B26" s="13" t="s">
        <v>88</v>
      </c>
      <c r="C26" s="14"/>
      <c r="D26" s="14"/>
      <c r="E26" s="14"/>
      <c r="F26" s="24">
        <v>136877.9608</v>
      </c>
      <c r="G26" s="25">
        <v>0.95099999999999996</v>
      </c>
      <c r="H26" s="26"/>
      <c r="I26" s="27"/>
    </row>
    <row r="27" spans="1:9" ht="12.9" customHeight="1">
      <c r="A27" s="5"/>
      <c r="B27" s="28" t="s">
        <v>89</v>
      </c>
      <c r="C27" s="2"/>
      <c r="D27" s="2"/>
      <c r="E27" s="2"/>
      <c r="F27" s="26" t="s">
        <v>90</v>
      </c>
      <c r="G27" s="26" t="s">
        <v>90</v>
      </c>
      <c r="H27" s="26"/>
      <c r="I27" s="27"/>
    </row>
    <row r="28" spans="1:9" ht="12.9" customHeight="1">
      <c r="A28" s="5"/>
      <c r="B28" s="28" t="s">
        <v>88</v>
      </c>
      <c r="C28" s="2"/>
      <c r="D28" s="2"/>
      <c r="E28" s="2"/>
      <c r="F28" s="26" t="s">
        <v>90</v>
      </c>
      <c r="G28" s="26" t="s">
        <v>90</v>
      </c>
      <c r="H28" s="26"/>
      <c r="I28" s="27"/>
    </row>
    <row r="29" spans="1:9" ht="12.9" customHeight="1">
      <c r="A29" s="5"/>
      <c r="B29" s="28" t="s">
        <v>91</v>
      </c>
      <c r="C29" s="29"/>
      <c r="D29" s="2"/>
      <c r="E29" s="29"/>
      <c r="F29" s="24">
        <v>136877.9608</v>
      </c>
      <c r="G29" s="25">
        <v>0.95099999999999996</v>
      </c>
      <c r="H29" s="26"/>
      <c r="I29" s="27"/>
    </row>
    <row r="30" spans="1:9" ht="12.9" customHeight="1">
      <c r="A30" s="5"/>
      <c r="B30" s="13" t="s">
        <v>92</v>
      </c>
      <c r="C30" s="14"/>
      <c r="D30" s="14"/>
      <c r="E30" s="14"/>
      <c r="F30" s="14"/>
      <c r="G30" s="14"/>
      <c r="H30" s="15"/>
      <c r="I30" s="16"/>
    </row>
    <row r="31" spans="1:9" ht="12.9" customHeight="1">
      <c r="A31" s="17" t="s">
        <v>93</v>
      </c>
      <c r="B31" s="18" t="s">
        <v>94</v>
      </c>
      <c r="C31" s="14"/>
      <c r="D31" s="14"/>
      <c r="E31" s="19"/>
      <c r="F31" s="20">
        <v>901.26</v>
      </c>
      <c r="G31" s="21">
        <v>6.3E-3</v>
      </c>
      <c r="H31" s="22">
        <v>5.0765168220287621E-2</v>
      </c>
      <c r="I31" s="23"/>
    </row>
    <row r="32" spans="1:9" ht="12.9" customHeight="1">
      <c r="A32" s="5"/>
      <c r="B32" s="13" t="s">
        <v>88</v>
      </c>
      <c r="C32" s="14"/>
      <c r="D32" s="14"/>
      <c r="E32" s="14"/>
      <c r="F32" s="24">
        <v>901.26</v>
      </c>
      <c r="G32" s="25">
        <v>6.3E-3</v>
      </c>
      <c r="H32" s="26"/>
      <c r="I32" s="27"/>
    </row>
    <row r="33" spans="1:9" ht="12.9" customHeight="1">
      <c r="A33" s="5"/>
      <c r="B33" s="28" t="s">
        <v>91</v>
      </c>
      <c r="C33" s="29"/>
      <c r="D33" s="2"/>
      <c r="E33" s="29"/>
      <c r="F33" s="24">
        <v>901.26</v>
      </c>
      <c r="G33" s="25">
        <v>6.3E-3</v>
      </c>
      <c r="H33" s="26"/>
      <c r="I33" s="27"/>
    </row>
    <row r="34" spans="1:9" ht="12.9" customHeight="1">
      <c r="A34" s="5"/>
      <c r="B34" s="28" t="s">
        <v>96</v>
      </c>
      <c r="C34" s="14"/>
      <c r="D34" s="2"/>
      <c r="E34" s="14"/>
      <c r="F34" s="31">
        <v>6143.8991999999998</v>
      </c>
      <c r="G34" s="25">
        <v>4.2700000000000002E-2</v>
      </c>
      <c r="H34" s="26"/>
      <c r="I34" s="27"/>
    </row>
    <row r="35" spans="1:9" ht="12.9" customHeight="1">
      <c r="A35" s="5"/>
      <c r="B35" s="32" t="s">
        <v>97</v>
      </c>
      <c r="C35" s="33"/>
      <c r="D35" s="33"/>
      <c r="E35" s="33"/>
      <c r="F35" s="34">
        <v>143923.12</v>
      </c>
      <c r="G35" s="35">
        <v>1</v>
      </c>
      <c r="H35" s="36"/>
      <c r="I35" s="37"/>
    </row>
    <row r="36" spans="1:9" ht="12.9" customHeight="1">
      <c r="A36" s="5"/>
      <c r="B36" s="7"/>
      <c r="C36" s="5"/>
      <c r="D36" s="5"/>
      <c r="E36" s="5"/>
      <c r="F36" s="5"/>
      <c r="G36" s="5"/>
      <c r="H36" s="5"/>
      <c r="I36" s="5"/>
    </row>
    <row r="37" spans="1:9" ht="12.9" customHeight="1">
      <c r="A37" s="5"/>
      <c r="B37" s="4" t="s">
        <v>146</v>
      </c>
      <c r="C37" s="5"/>
      <c r="D37" s="5"/>
      <c r="E37" s="5"/>
      <c r="F37" s="5"/>
      <c r="G37" s="5"/>
      <c r="H37" s="5"/>
      <c r="I37" s="5"/>
    </row>
    <row r="38" spans="1:9" ht="12.9" customHeight="1">
      <c r="A38" s="5"/>
      <c r="B38" s="4" t="s">
        <v>99</v>
      </c>
      <c r="C38" s="5"/>
      <c r="D38" s="5"/>
      <c r="E38" s="5"/>
      <c r="F38" s="5"/>
      <c r="G38" s="5"/>
      <c r="H38" s="5"/>
      <c r="I38" s="5"/>
    </row>
    <row r="39" spans="1:9" ht="26.1" customHeight="1">
      <c r="A39" s="5"/>
      <c r="B39" s="50" t="s">
        <v>100</v>
      </c>
      <c r="C39" s="50"/>
      <c r="D39" s="50"/>
      <c r="E39" s="50"/>
      <c r="F39" s="50"/>
      <c r="G39" s="50"/>
      <c r="H39" s="50"/>
      <c r="I39" s="50"/>
    </row>
    <row r="40" spans="1:9" ht="12.9" customHeight="1">
      <c r="A40" s="5"/>
      <c r="B40" s="50" t="s">
        <v>101</v>
      </c>
      <c r="C40" s="50"/>
      <c r="D40" s="50"/>
      <c r="E40" s="50"/>
      <c r="F40" s="50"/>
      <c r="G40" s="50"/>
      <c r="H40" s="50"/>
      <c r="I40" s="50"/>
    </row>
    <row r="41" spans="1:9" ht="12.9" customHeight="1">
      <c r="A41" s="5"/>
      <c r="B41" s="50" t="s">
        <v>863</v>
      </c>
      <c r="C41" s="50"/>
      <c r="D41" s="50"/>
      <c r="E41" s="50"/>
      <c r="F41" s="50"/>
      <c r="G41" s="5"/>
      <c r="H41" s="5"/>
      <c r="I41" s="5"/>
    </row>
    <row r="42" spans="1:9" ht="12.9" customHeight="1">
      <c r="A42" s="5"/>
      <c r="B42" s="50"/>
      <c r="C42" s="50"/>
      <c r="D42" s="50"/>
      <c r="E42" s="50"/>
      <c r="F42" s="50"/>
      <c r="G42" s="50"/>
      <c r="H42" s="50"/>
      <c r="I42" s="50"/>
    </row>
    <row r="43" spans="1:9" ht="12.9" customHeight="1">
      <c r="A43" s="5"/>
      <c r="B43" s="53" t="s">
        <v>864</v>
      </c>
      <c r="C43" s="53"/>
      <c r="D43" s="53"/>
      <c r="E43" s="53"/>
      <c r="F43" s="5"/>
      <c r="G43" s="5"/>
      <c r="H43" s="5"/>
      <c r="I43" s="5"/>
    </row>
    <row r="44" spans="1:9" ht="12.9" customHeight="1">
      <c r="A44" s="5"/>
      <c r="B44" s="50"/>
      <c r="C44" s="50"/>
      <c r="D44" s="50"/>
      <c r="E44" s="50"/>
      <c r="F44" s="50"/>
      <c r="G44" s="50"/>
      <c r="H44" s="50"/>
      <c r="I44" s="50"/>
    </row>
    <row r="45" spans="1:9" ht="12.9" customHeight="1">
      <c r="A45" s="5"/>
      <c r="B45" s="5"/>
      <c r="C45" s="51" t="s">
        <v>865</v>
      </c>
      <c r="D45" s="51"/>
      <c r="E45" s="51"/>
      <c r="F45" s="51"/>
      <c r="G45" s="5"/>
      <c r="H45" s="5"/>
      <c r="I45" s="5"/>
    </row>
    <row r="46" spans="1:9" ht="12.9" customHeight="1">
      <c r="A46" s="5"/>
      <c r="B46" s="38" t="s">
        <v>103</v>
      </c>
      <c r="C46" s="51" t="s">
        <v>104</v>
      </c>
      <c r="D46" s="51"/>
      <c r="E46" s="51"/>
      <c r="F46" s="51"/>
      <c r="G46" s="5"/>
      <c r="H46" s="5"/>
      <c r="I46" s="5"/>
    </row>
    <row r="47" spans="1:9" ht="135" customHeight="1">
      <c r="A47" s="5"/>
      <c r="B47" s="39"/>
      <c r="C47" s="52"/>
      <c r="D47" s="52"/>
      <c r="E47" s="5"/>
      <c r="F47" s="5"/>
      <c r="G47" s="5"/>
      <c r="H47" s="5"/>
      <c r="I47" s="5"/>
    </row>
  </sheetData>
  <mergeCells count="9">
    <mergeCell ref="B39:I39"/>
    <mergeCell ref="B40:I40"/>
    <mergeCell ref="B41:F41"/>
    <mergeCell ref="C47:D47"/>
    <mergeCell ref="B42:I42"/>
    <mergeCell ref="B43:E43"/>
    <mergeCell ref="B44:I44"/>
    <mergeCell ref="C45:F45"/>
    <mergeCell ref="C46:F46"/>
  </mergeCells>
  <hyperlinks>
    <hyperlink ref="A1" location="AxisCRISILIBXAAABondNBFCJun2027IndexFund" display="AXISCDL" xr:uid="{00000000-0004-0000-0A00-000000000000}"/>
    <hyperlink ref="B1" location="AxisCRISILIBXAAABondNBFCJun2027IndexFund" display="Axis CRISIL IBX AAA Bond NBFC Jun 2027 Index Fund" xr:uid="{00000000-0004-0000-0A00-000001000000}"/>
  </hyperlinks>
  <pageMargins left="0" right="0" top="0" bottom="0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L40"/>
  <sheetViews>
    <sheetView workbookViewId="0">
      <selection activeCell="G29" sqref="G29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12" ht="15.9" customHeight="1">
      <c r="A1" s="3" t="s">
        <v>17</v>
      </c>
      <c r="B1" s="4" t="s">
        <v>18</v>
      </c>
      <c r="C1" s="5"/>
      <c r="D1" s="5"/>
      <c r="E1" s="5"/>
      <c r="F1" s="5"/>
      <c r="G1" s="5"/>
      <c r="H1" s="5"/>
      <c r="I1" s="5"/>
    </row>
    <row r="2" spans="1:12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12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12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12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12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12" ht="12.9" customHeight="1">
      <c r="A7" s="17" t="s">
        <v>866</v>
      </c>
      <c r="B7" s="18" t="s">
        <v>867</v>
      </c>
      <c r="C7" s="14" t="s">
        <v>868</v>
      </c>
      <c r="D7" s="14" t="s">
        <v>109</v>
      </c>
      <c r="E7" s="19">
        <v>30</v>
      </c>
      <c r="F7" s="20">
        <v>301.50360000000001</v>
      </c>
      <c r="G7" s="21">
        <v>0.1293</v>
      </c>
      <c r="H7" s="22">
        <v>7.2999999999999995E-2</v>
      </c>
      <c r="I7" s="23"/>
      <c r="K7" s="48">
        <f>ROUND(+F7/$F$29,6)</f>
        <v>0.12933700000000001</v>
      </c>
      <c r="L7" s="49">
        <f>+K7-G7</f>
        <v>3.7000000000009248E-5</v>
      </c>
    </row>
    <row r="8" spans="1:12" ht="12.9" customHeight="1">
      <c r="A8" s="17" t="s">
        <v>409</v>
      </c>
      <c r="B8" s="18" t="s">
        <v>410</v>
      </c>
      <c r="C8" s="14" t="s">
        <v>411</v>
      </c>
      <c r="D8" s="14" t="s">
        <v>372</v>
      </c>
      <c r="E8" s="19">
        <v>250</v>
      </c>
      <c r="F8" s="20">
        <v>253.3828</v>
      </c>
      <c r="G8" s="21">
        <v>0.1087</v>
      </c>
      <c r="H8" s="22">
        <v>6.8449999999999997E-2</v>
      </c>
      <c r="I8" s="23"/>
      <c r="K8" s="48">
        <f t="shared" ref="K8:K19" si="0">ROUND(+F8/$F$29,6)</f>
        <v>0.108694</v>
      </c>
      <c r="L8" s="49">
        <f t="shared" ref="L8:L19" si="1">+K8-G8</f>
        <v>-6.0000000000060005E-6</v>
      </c>
    </row>
    <row r="9" spans="1:12" ht="12.9" customHeight="1">
      <c r="A9" s="17" t="s">
        <v>679</v>
      </c>
      <c r="B9" s="18" t="s">
        <v>680</v>
      </c>
      <c r="C9" s="14" t="s">
        <v>681</v>
      </c>
      <c r="D9" s="14" t="s">
        <v>109</v>
      </c>
      <c r="E9" s="19">
        <v>250</v>
      </c>
      <c r="F9" s="20">
        <v>253.274</v>
      </c>
      <c r="G9" s="21">
        <v>0.1086</v>
      </c>
      <c r="H9" s="22">
        <v>6.9750000000000006E-2</v>
      </c>
      <c r="I9" s="23"/>
      <c r="K9" s="48">
        <f t="shared" si="0"/>
        <v>0.10864799999999999</v>
      </c>
      <c r="L9" s="49">
        <f t="shared" si="1"/>
        <v>4.7999999999992493E-5</v>
      </c>
    </row>
    <row r="10" spans="1:12" ht="12.9" customHeight="1">
      <c r="A10" s="17" t="s">
        <v>664</v>
      </c>
      <c r="B10" s="18" t="s">
        <v>665</v>
      </c>
      <c r="C10" s="14" t="s">
        <v>666</v>
      </c>
      <c r="D10" s="14" t="s">
        <v>109</v>
      </c>
      <c r="E10" s="19">
        <v>200</v>
      </c>
      <c r="F10" s="20">
        <v>202.88</v>
      </c>
      <c r="G10" s="21">
        <v>8.6999999999999994E-2</v>
      </c>
      <c r="H10" s="22">
        <v>7.0449999999999999E-2</v>
      </c>
      <c r="I10" s="23"/>
      <c r="K10" s="48">
        <f t="shared" si="0"/>
        <v>8.7029999999999996E-2</v>
      </c>
      <c r="L10" s="49">
        <f t="shared" si="1"/>
        <v>3.0000000000002247E-5</v>
      </c>
    </row>
    <row r="11" spans="1:12" ht="12.9" customHeight="1">
      <c r="A11" s="17" t="s">
        <v>469</v>
      </c>
      <c r="B11" s="18" t="s">
        <v>470</v>
      </c>
      <c r="C11" s="14" t="s">
        <v>471</v>
      </c>
      <c r="D11" s="14" t="s">
        <v>109</v>
      </c>
      <c r="E11" s="19">
        <v>20</v>
      </c>
      <c r="F11" s="20">
        <v>202.06020000000001</v>
      </c>
      <c r="G11" s="21">
        <v>8.6699999999999999E-2</v>
      </c>
      <c r="H11" s="22">
        <v>7.0699999999999999E-2</v>
      </c>
      <c r="I11" s="23"/>
      <c r="K11" s="48">
        <f t="shared" si="0"/>
        <v>8.6678000000000005E-2</v>
      </c>
      <c r="L11" s="49">
        <f t="shared" si="1"/>
        <v>-2.1999999999994246E-5</v>
      </c>
    </row>
    <row r="12" spans="1:12" ht="12.9" customHeight="1">
      <c r="A12" s="17" t="s">
        <v>869</v>
      </c>
      <c r="B12" s="18" t="s">
        <v>870</v>
      </c>
      <c r="C12" s="14" t="s">
        <v>871</v>
      </c>
      <c r="D12" s="14" t="s">
        <v>353</v>
      </c>
      <c r="E12" s="19">
        <v>20</v>
      </c>
      <c r="F12" s="20">
        <v>201.83860000000001</v>
      </c>
      <c r="G12" s="21">
        <v>8.6599999999999996E-2</v>
      </c>
      <c r="H12" s="22">
        <v>7.2700000000000001E-2</v>
      </c>
      <c r="I12" s="23"/>
      <c r="K12" s="48">
        <f t="shared" si="0"/>
        <v>8.6582999999999993E-2</v>
      </c>
      <c r="L12" s="49">
        <f t="shared" si="1"/>
        <v>-1.7000000000003124E-5</v>
      </c>
    </row>
    <row r="13" spans="1:12" ht="12.9" customHeight="1">
      <c r="A13" s="17" t="s">
        <v>451</v>
      </c>
      <c r="B13" s="18" t="s">
        <v>452</v>
      </c>
      <c r="C13" s="14" t="s">
        <v>453</v>
      </c>
      <c r="D13" s="14" t="s">
        <v>109</v>
      </c>
      <c r="E13" s="19">
        <v>150</v>
      </c>
      <c r="F13" s="20">
        <v>151.8426</v>
      </c>
      <c r="G13" s="21">
        <v>6.5100000000000005E-2</v>
      </c>
      <c r="H13" s="22">
        <v>6.7949999999999997E-2</v>
      </c>
      <c r="I13" s="23"/>
      <c r="K13" s="48">
        <f t="shared" si="0"/>
        <v>6.5135999999999999E-2</v>
      </c>
      <c r="L13" s="49">
        <f t="shared" si="1"/>
        <v>3.599999999999437E-5</v>
      </c>
    </row>
    <row r="14" spans="1:12" ht="12.9" customHeight="1">
      <c r="A14" s="17" t="s">
        <v>481</v>
      </c>
      <c r="B14" s="18" t="s">
        <v>482</v>
      </c>
      <c r="C14" s="14" t="s">
        <v>483</v>
      </c>
      <c r="D14" s="14" t="s">
        <v>372</v>
      </c>
      <c r="E14" s="19">
        <v>150</v>
      </c>
      <c r="F14" s="20">
        <v>151.65620000000001</v>
      </c>
      <c r="G14" s="21">
        <v>6.5100000000000005E-2</v>
      </c>
      <c r="H14" s="22">
        <v>6.8199999999999997E-2</v>
      </c>
      <c r="I14" s="23"/>
      <c r="K14" s="48">
        <f t="shared" si="0"/>
        <v>6.5056000000000003E-2</v>
      </c>
      <c r="L14" s="49">
        <f t="shared" si="1"/>
        <v>-4.4000000000002371E-5</v>
      </c>
    </row>
    <row r="15" spans="1:12" ht="12.9" customHeight="1">
      <c r="A15" s="17" t="s">
        <v>872</v>
      </c>
      <c r="B15" s="18" t="s">
        <v>873</v>
      </c>
      <c r="C15" s="14" t="s">
        <v>874</v>
      </c>
      <c r="D15" s="14" t="s">
        <v>109</v>
      </c>
      <c r="E15" s="19">
        <v>100</v>
      </c>
      <c r="F15" s="20">
        <v>101.4207</v>
      </c>
      <c r="G15" s="21">
        <v>4.3499999999999997E-2</v>
      </c>
      <c r="H15" s="22">
        <v>7.1849999999999997E-2</v>
      </c>
      <c r="I15" s="23"/>
      <c r="K15" s="48">
        <f t="shared" si="0"/>
        <v>4.3506999999999997E-2</v>
      </c>
      <c r="L15" s="49">
        <f t="shared" si="1"/>
        <v>7.0000000000000617E-6</v>
      </c>
    </row>
    <row r="16" spans="1:12" ht="12.9" customHeight="1">
      <c r="A16" s="17" t="s">
        <v>830</v>
      </c>
      <c r="B16" s="18" t="s">
        <v>831</v>
      </c>
      <c r="C16" s="14" t="s">
        <v>832</v>
      </c>
      <c r="D16" s="14" t="s">
        <v>109</v>
      </c>
      <c r="E16" s="19">
        <v>100</v>
      </c>
      <c r="F16" s="20">
        <v>101.3531</v>
      </c>
      <c r="G16" s="21">
        <v>4.3499999999999997E-2</v>
      </c>
      <c r="H16" s="22">
        <v>7.2800000000000004E-2</v>
      </c>
      <c r="I16" s="23"/>
      <c r="K16" s="48">
        <f t="shared" si="0"/>
        <v>4.3478000000000003E-2</v>
      </c>
      <c r="L16" s="49">
        <f t="shared" si="1"/>
        <v>-2.1999999999994246E-5</v>
      </c>
    </row>
    <row r="17" spans="1:12" ht="12.9" customHeight="1">
      <c r="A17" s="17" t="s">
        <v>607</v>
      </c>
      <c r="B17" s="18" t="s">
        <v>608</v>
      </c>
      <c r="C17" s="14" t="s">
        <v>609</v>
      </c>
      <c r="D17" s="14" t="s">
        <v>109</v>
      </c>
      <c r="E17" s="19">
        <v>100</v>
      </c>
      <c r="F17" s="20">
        <v>101.27970000000001</v>
      </c>
      <c r="G17" s="21">
        <v>4.3400000000000001E-2</v>
      </c>
      <c r="H17" s="22">
        <v>6.8349999999999994E-2</v>
      </c>
      <c r="I17" s="23"/>
      <c r="K17" s="48">
        <f t="shared" si="0"/>
        <v>4.3445999999999999E-2</v>
      </c>
      <c r="L17" s="49">
        <f t="shared" si="1"/>
        <v>4.5999999999997432E-5</v>
      </c>
    </row>
    <row r="18" spans="1:12" ht="12.9" customHeight="1">
      <c r="A18" s="17" t="s">
        <v>818</v>
      </c>
      <c r="B18" s="18" t="s">
        <v>819</v>
      </c>
      <c r="C18" s="14" t="s">
        <v>820</v>
      </c>
      <c r="D18" s="14" t="s">
        <v>109</v>
      </c>
      <c r="E18" s="19">
        <v>100</v>
      </c>
      <c r="F18" s="20">
        <v>101.233</v>
      </c>
      <c r="G18" s="21">
        <v>4.3400000000000001E-2</v>
      </c>
      <c r="H18" s="22">
        <v>7.1800000000000003E-2</v>
      </c>
      <c r="I18" s="23"/>
      <c r="K18" s="48">
        <f t="shared" si="0"/>
        <v>4.3425999999999999E-2</v>
      </c>
      <c r="L18" s="49">
        <f t="shared" si="1"/>
        <v>2.5999999999998247E-5</v>
      </c>
    </row>
    <row r="19" spans="1:12" ht="12.9" customHeight="1">
      <c r="A19" s="17" t="s">
        <v>875</v>
      </c>
      <c r="B19" s="18" t="s">
        <v>876</v>
      </c>
      <c r="C19" s="14" t="s">
        <v>877</v>
      </c>
      <c r="D19" s="14" t="s">
        <v>109</v>
      </c>
      <c r="E19" s="19">
        <v>10</v>
      </c>
      <c r="F19" s="20">
        <v>100.46729999999999</v>
      </c>
      <c r="G19" s="21">
        <v>4.3099999999999999E-2</v>
      </c>
      <c r="H19" s="22">
        <v>6.8250000000000005E-2</v>
      </c>
      <c r="I19" s="23"/>
      <c r="K19" s="48">
        <f t="shared" si="0"/>
        <v>4.3097999999999997E-2</v>
      </c>
      <c r="L19" s="49">
        <f t="shared" si="1"/>
        <v>-2.0000000000020002E-6</v>
      </c>
    </row>
    <row r="20" spans="1:12" ht="12.9" customHeight="1">
      <c r="A20" s="5"/>
      <c r="B20" s="13" t="s">
        <v>88</v>
      </c>
      <c r="C20" s="14"/>
      <c r="D20" s="14"/>
      <c r="E20" s="14"/>
      <c r="F20" s="24">
        <v>2224.1916999999999</v>
      </c>
      <c r="G20" s="25">
        <v>0.95409999999999995</v>
      </c>
      <c r="H20" s="26"/>
      <c r="I20" s="27"/>
    </row>
    <row r="21" spans="1:12" ht="12.9" customHeight="1">
      <c r="A21" s="5"/>
      <c r="B21" s="28" t="s">
        <v>89</v>
      </c>
      <c r="C21" s="2"/>
      <c r="D21" s="2"/>
      <c r="E21" s="2"/>
      <c r="F21" s="26" t="s">
        <v>90</v>
      </c>
      <c r="G21" s="26" t="s">
        <v>90</v>
      </c>
      <c r="H21" s="26"/>
      <c r="I21" s="27"/>
    </row>
    <row r="22" spans="1:12" ht="12.9" customHeight="1">
      <c r="A22" s="5"/>
      <c r="B22" s="28" t="s">
        <v>88</v>
      </c>
      <c r="C22" s="2"/>
      <c r="D22" s="2"/>
      <c r="E22" s="2"/>
      <c r="F22" s="26" t="s">
        <v>90</v>
      </c>
      <c r="G22" s="26" t="s">
        <v>90</v>
      </c>
      <c r="H22" s="26"/>
      <c r="I22" s="27"/>
    </row>
    <row r="23" spans="1:12" ht="12.9" customHeight="1">
      <c r="A23" s="5"/>
      <c r="B23" s="28" t="s">
        <v>91</v>
      </c>
      <c r="C23" s="29"/>
      <c r="D23" s="2"/>
      <c r="E23" s="29"/>
      <c r="F23" s="24">
        <v>2224.1916999999999</v>
      </c>
      <c r="G23" s="25">
        <v>0.95409999999999995</v>
      </c>
      <c r="H23" s="26"/>
      <c r="I23" s="27"/>
    </row>
    <row r="24" spans="1:12" ht="12.9" customHeight="1">
      <c r="A24" s="5"/>
      <c r="B24" s="13" t="s">
        <v>92</v>
      </c>
      <c r="C24" s="14"/>
      <c r="D24" s="14"/>
      <c r="E24" s="14"/>
      <c r="F24" s="14"/>
      <c r="G24" s="14"/>
      <c r="H24" s="15"/>
      <c r="I24" s="16"/>
    </row>
    <row r="25" spans="1:12" ht="12.9" customHeight="1">
      <c r="A25" s="17" t="s">
        <v>93</v>
      </c>
      <c r="B25" s="18" t="s">
        <v>94</v>
      </c>
      <c r="C25" s="14"/>
      <c r="D25" s="14"/>
      <c r="E25" s="19"/>
      <c r="F25" s="20">
        <v>41.83</v>
      </c>
      <c r="G25" s="21">
        <v>1.7899999999999999E-2</v>
      </c>
      <c r="H25" s="22">
        <v>5.0765008368483848E-2</v>
      </c>
      <c r="I25" s="23"/>
      <c r="K25" s="48">
        <f t="shared" ref="K25" si="2">ROUND(+F25/$F$29,6)</f>
        <v>1.7944000000000002E-2</v>
      </c>
      <c r="L25" s="48">
        <f t="shared" ref="L25" si="3">+K25-G25</f>
        <v>4.4000000000002371E-5</v>
      </c>
    </row>
    <row r="26" spans="1:12" ht="12.9" customHeight="1">
      <c r="A26" s="5"/>
      <c r="B26" s="13" t="s">
        <v>88</v>
      </c>
      <c r="C26" s="14"/>
      <c r="D26" s="14"/>
      <c r="E26" s="14"/>
      <c r="F26" s="24">
        <v>41.83</v>
      </c>
      <c r="G26" s="25">
        <v>1.7899999999999999E-2</v>
      </c>
      <c r="H26" s="26"/>
      <c r="I26" s="27"/>
    </row>
    <row r="27" spans="1:12" ht="12.9" customHeight="1">
      <c r="A27" s="5"/>
      <c r="B27" s="28" t="s">
        <v>91</v>
      </c>
      <c r="C27" s="29"/>
      <c r="D27" s="2"/>
      <c r="E27" s="29"/>
      <c r="F27" s="24">
        <v>41.83</v>
      </c>
      <c r="G27" s="25">
        <v>1.7899999999999999E-2</v>
      </c>
      <c r="H27" s="26"/>
      <c r="I27" s="27"/>
    </row>
    <row r="28" spans="1:12" ht="12.9" customHeight="1">
      <c r="A28" s="5"/>
      <c r="B28" s="28" t="s">
        <v>96</v>
      </c>
      <c r="C28" s="14"/>
      <c r="D28" s="2"/>
      <c r="E28" s="14"/>
      <c r="F28" s="31">
        <v>65.128299999999996</v>
      </c>
      <c r="G28" s="25">
        <v>2.8000000000000001E-2</v>
      </c>
      <c r="H28" s="26"/>
      <c r="I28" s="27"/>
      <c r="K28" s="48">
        <f t="shared" ref="K28" si="4">ROUND(+F28/$F$29,6)</f>
        <v>2.7938000000000001E-2</v>
      </c>
      <c r="L28" s="48">
        <f t="shared" ref="L28" si="5">+K28-G28</f>
        <v>-6.1999999999999555E-5</v>
      </c>
    </row>
    <row r="29" spans="1:12" ht="12.9" customHeight="1">
      <c r="A29" s="5"/>
      <c r="B29" s="32" t="s">
        <v>97</v>
      </c>
      <c r="C29" s="33"/>
      <c r="D29" s="33"/>
      <c r="E29" s="33"/>
      <c r="F29" s="34">
        <v>2331.15</v>
      </c>
      <c r="G29" s="35">
        <v>1</v>
      </c>
      <c r="H29" s="36"/>
      <c r="I29" s="37"/>
    </row>
    <row r="30" spans="1:12" ht="12.9" customHeight="1">
      <c r="A30" s="5"/>
      <c r="B30" s="7"/>
      <c r="C30" s="5"/>
      <c r="D30" s="5"/>
      <c r="E30" s="5"/>
      <c r="F30" s="5"/>
      <c r="G30" s="5"/>
      <c r="H30" s="5"/>
      <c r="I30" s="5"/>
    </row>
    <row r="31" spans="1:12" ht="12.9" customHeight="1">
      <c r="A31" s="5"/>
      <c r="B31" s="4" t="s">
        <v>146</v>
      </c>
      <c r="C31" s="5"/>
      <c r="D31" s="5"/>
      <c r="E31" s="5"/>
      <c r="F31" s="5"/>
      <c r="G31" s="47"/>
      <c r="H31" s="5"/>
      <c r="I31" s="5"/>
    </row>
    <row r="32" spans="1:12" ht="12.9" customHeight="1">
      <c r="A32" s="5"/>
      <c r="B32" s="4" t="s">
        <v>99</v>
      </c>
      <c r="C32" s="5"/>
      <c r="D32" s="5"/>
      <c r="E32" s="5"/>
      <c r="F32" s="5"/>
      <c r="G32" s="5"/>
      <c r="H32" s="5"/>
      <c r="I32" s="5"/>
    </row>
    <row r="33" spans="1:9" ht="26.1" customHeight="1">
      <c r="A33" s="5"/>
      <c r="B33" s="50" t="s">
        <v>100</v>
      </c>
      <c r="C33" s="50"/>
      <c r="D33" s="50"/>
      <c r="E33" s="50"/>
      <c r="F33" s="50"/>
      <c r="G33" s="50"/>
      <c r="H33" s="50"/>
      <c r="I33" s="50"/>
    </row>
    <row r="34" spans="1:9" ht="12.9" customHeight="1">
      <c r="A34" s="5"/>
      <c r="B34" s="50" t="s">
        <v>101</v>
      </c>
      <c r="C34" s="50"/>
      <c r="D34" s="50"/>
      <c r="E34" s="50"/>
      <c r="F34" s="50"/>
      <c r="G34" s="50"/>
      <c r="H34" s="50"/>
      <c r="I34" s="50"/>
    </row>
    <row r="35" spans="1:9" ht="12.9" customHeight="1">
      <c r="A35" s="5"/>
      <c r="B35" s="50" t="s">
        <v>878</v>
      </c>
      <c r="C35" s="50"/>
      <c r="D35" s="50"/>
      <c r="E35" s="50"/>
      <c r="F35" s="50"/>
      <c r="G35" s="5"/>
      <c r="H35" s="5"/>
      <c r="I35" s="5"/>
    </row>
    <row r="36" spans="1:9" ht="12.9" customHeight="1">
      <c r="A36" s="5"/>
      <c r="B36" s="50"/>
      <c r="C36" s="50"/>
      <c r="D36" s="50"/>
      <c r="E36" s="50"/>
      <c r="F36" s="50"/>
      <c r="G36" s="50"/>
      <c r="H36" s="50"/>
      <c r="I36" s="50"/>
    </row>
    <row r="37" spans="1:9" ht="12.9" customHeight="1">
      <c r="A37" s="5"/>
      <c r="B37" s="50"/>
      <c r="C37" s="50"/>
      <c r="D37" s="50"/>
      <c r="E37" s="50"/>
      <c r="F37" s="50"/>
      <c r="G37" s="50"/>
      <c r="H37" s="50"/>
      <c r="I37" s="50"/>
    </row>
    <row r="38" spans="1:9" ht="12.9" customHeight="1">
      <c r="A38" s="5"/>
      <c r="B38" s="5"/>
      <c r="C38" s="51" t="s">
        <v>879</v>
      </c>
      <c r="D38" s="51"/>
      <c r="E38" s="51"/>
      <c r="F38" s="51"/>
      <c r="G38" s="5"/>
      <c r="H38" s="5"/>
      <c r="I38" s="5"/>
    </row>
    <row r="39" spans="1:9" ht="12.9" customHeight="1">
      <c r="A39" s="5"/>
      <c r="B39" s="38" t="s">
        <v>103</v>
      </c>
      <c r="C39" s="51" t="s">
        <v>104</v>
      </c>
      <c r="D39" s="51"/>
      <c r="E39" s="51"/>
      <c r="F39" s="51"/>
      <c r="G39" s="5"/>
      <c r="H39" s="5"/>
      <c r="I39" s="5"/>
    </row>
    <row r="40" spans="1:9" ht="135" customHeight="1">
      <c r="A40" s="5"/>
      <c r="B40" s="39"/>
      <c r="C40" s="52"/>
      <c r="D40" s="52"/>
      <c r="E40" s="5"/>
      <c r="F40" s="5"/>
      <c r="G40" s="5"/>
      <c r="H40" s="5"/>
      <c r="I40" s="5"/>
    </row>
  </sheetData>
  <mergeCells count="8">
    <mergeCell ref="C38:F38"/>
    <mergeCell ref="C39:F39"/>
    <mergeCell ref="C40:D40"/>
    <mergeCell ref="B33:I33"/>
    <mergeCell ref="B34:I34"/>
    <mergeCell ref="B35:F35"/>
    <mergeCell ref="B36:I36"/>
    <mergeCell ref="B37:I37"/>
  </mergeCells>
  <hyperlinks>
    <hyperlink ref="A1" location="AxisCRISILIBXAAABondFinancialServicesSep2027IndexFund" display="AXISCFS" xr:uid="{00000000-0004-0000-0C00-000000000000}"/>
    <hyperlink ref="B1" location="AxisCRISILIBXAAABondFinancialServicesSep2027IndexFund" display="Axis CRISIL-IBX AAA Bond Financial Services - Sep 2027 Index Fund" xr:uid="{00000000-0004-0000-0C00-000001000000}"/>
  </hyperlinks>
  <pageMargins left="0" right="0" top="0" bottom="0" header="0" footer="0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33"/>
  <sheetViews>
    <sheetView workbookViewId="0">
      <selection activeCell="G17" sqref="G17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19</v>
      </c>
      <c r="B1" s="4" t="s">
        <v>20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927</v>
      </c>
      <c r="B7" s="18" t="s">
        <v>928</v>
      </c>
      <c r="C7" s="14" t="s">
        <v>929</v>
      </c>
      <c r="D7" s="14" t="s">
        <v>84</v>
      </c>
      <c r="E7" s="19">
        <v>2250000</v>
      </c>
      <c r="F7" s="20">
        <v>2311.0853000000002</v>
      </c>
      <c r="G7" s="21">
        <v>0.34250000000000003</v>
      </c>
      <c r="H7" s="22">
        <v>5.8692000000000001E-2</v>
      </c>
      <c r="I7" s="23"/>
    </row>
    <row r="8" spans="1:9" ht="12.9" customHeight="1">
      <c r="A8" s="17" t="s">
        <v>930</v>
      </c>
      <c r="B8" s="18" t="s">
        <v>931</v>
      </c>
      <c r="C8" s="14" t="s">
        <v>932</v>
      </c>
      <c r="D8" s="14" t="s">
        <v>84</v>
      </c>
      <c r="E8" s="19">
        <v>1510000</v>
      </c>
      <c r="F8" s="20">
        <v>1566.5223000000001</v>
      </c>
      <c r="G8" s="21">
        <v>0.2321</v>
      </c>
      <c r="H8" s="22">
        <v>6.3965999999999995E-2</v>
      </c>
      <c r="I8" s="23"/>
    </row>
    <row r="9" spans="1:9" ht="12.9" customHeight="1">
      <c r="A9" s="17" t="s">
        <v>933</v>
      </c>
      <c r="B9" s="18" t="s">
        <v>934</v>
      </c>
      <c r="C9" s="14" t="s">
        <v>935</v>
      </c>
      <c r="D9" s="14" t="s">
        <v>84</v>
      </c>
      <c r="E9" s="19">
        <v>860000</v>
      </c>
      <c r="F9" s="20">
        <v>894.85320000000002</v>
      </c>
      <c r="G9" s="21">
        <v>0.1326</v>
      </c>
      <c r="H9" s="22">
        <v>6.3965999999999995E-2</v>
      </c>
      <c r="I9" s="23"/>
    </row>
    <row r="10" spans="1:9" ht="12.9" customHeight="1">
      <c r="A10" s="17" t="s">
        <v>936</v>
      </c>
      <c r="B10" s="18" t="s">
        <v>937</v>
      </c>
      <c r="C10" s="14" t="s">
        <v>938</v>
      </c>
      <c r="D10" s="14" t="s">
        <v>84</v>
      </c>
      <c r="E10" s="19">
        <v>500000</v>
      </c>
      <c r="F10" s="20">
        <v>521.76099999999997</v>
      </c>
      <c r="G10" s="21">
        <v>7.7299999999999994E-2</v>
      </c>
      <c r="H10" s="22">
        <v>6.4044000000000004E-2</v>
      </c>
      <c r="I10" s="23"/>
    </row>
    <row r="11" spans="1:9" ht="12.9" customHeight="1">
      <c r="A11" s="17" t="s">
        <v>939</v>
      </c>
      <c r="B11" s="18" t="s">
        <v>940</v>
      </c>
      <c r="C11" s="14" t="s">
        <v>941</v>
      </c>
      <c r="D11" s="14" t="s">
        <v>84</v>
      </c>
      <c r="E11" s="19">
        <v>500000</v>
      </c>
      <c r="F11" s="20">
        <v>520.09199999999998</v>
      </c>
      <c r="G11" s="21">
        <v>7.7100000000000002E-2</v>
      </c>
      <c r="H11" s="22">
        <v>6.4224000000000003E-2</v>
      </c>
      <c r="I11" s="23"/>
    </row>
    <row r="12" spans="1:9" ht="12.9" customHeight="1">
      <c r="A12" s="17" t="s">
        <v>942</v>
      </c>
      <c r="B12" s="18" t="s">
        <v>943</v>
      </c>
      <c r="C12" s="14" t="s">
        <v>944</v>
      </c>
      <c r="D12" s="14" t="s">
        <v>84</v>
      </c>
      <c r="E12" s="19">
        <v>500000</v>
      </c>
      <c r="F12" s="20">
        <v>517.48249999999996</v>
      </c>
      <c r="G12" s="21">
        <v>7.6700000000000004E-2</v>
      </c>
      <c r="H12" s="22">
        <v>6.4491000000000007E-2</v>
      </c>
      <c r="I12" s="23"/>
    </row>
    <row r="13" spans="1:9" ht="12.9" customHeight="1">
      <c r="A13" s="17" t="s">
        <v>945</v>
      </c>
      <c r="B13" s="18" t="s">
        <v>946</v>
      </c>
      <c r="C13" s="14" t="s">
        <v>947</v>
      </c>
      <c r="D13" s="14" t="s">
        <v>84</v>
      </c>
      <c r="E13" s="19">
        <v>200000</v>
      </c>
      <c r="F13" s="20">
        <v>201.77099999999999</v>
      </c>
      <c r="G13" s="21">
        <v>2.9899999999999999E-2</v>
      </c>
      <c r="H13" s="22">
        <v>6.4388000000000001E-2</v>
      </c>
      <c r="I13" s="23"/>
    </row>
    <row r="14" spans="1:9" ht="12.9" customHeight="1">
      <c r="A14" s="5"/>
      <c r="B14" s="13" t="s">
        <v>88</v>
      </c>
      <c r="C14" s="14"/>
      <c r="D14" s="14"/>
      <c r="E14" s="14"/>
      <c r="F14" s="24">
        <v>6533.5672999999997</v>
      </c>
      <c r="G14" s="25">
        <v>0.96819999999999995</v>
      </c>
      <c r="H14" s="26"/>
      <c r="I14" s="27"/>
    </row>
    <row r="15" spans="1:9" ht="12.9" customHeight="1">
      <c r="A15" s="5"/>
      <c r="B15" s="28" t="s">
        <v>89</v>
      </c>
      <c r="C15" s="2"/>
      <c r="D15" s="2"/>
      <c r="E15" s="2"/>
      <c r="F15" s="26" t="s">
        <v>90</v>
      </c>
      <c r="G15" s="26" t="s">
        <v>90</v>
      </c>
      <c r="H15" s="26"/>
      <c r="I15" s="27"/>
    </row>
    <row r="16" spans="1:9" ht="12.9" customHeight="1">
      <c r="A16" s="5"/>
      <c r="B16" s="28" t="s">
        <v>88</v>
      </c>
      <c r="C16" s="2"/>
      <c r="D16" s="2"/>
      <c r="E16" s="2"/>
      <c r="F16" s="26" t="s">
        <v>90</v>
      </c>
      <c r="G16" s="26" t="s">
        <v>90</v>
      </c>
      <c r="H16" s="26"/>
      <c r="I16" s="27"/>
    </row>
    <row r="17" spans="1:9" ht="12.9" customHeight="1">
      <c r="A17" s="5"/>
      <c r="B17" s="28" t="s">
        <v>91</v>
      </c>
      <c r="C17" s="29"/>
      <c r="D17" s="2"/>
      <c r="E17" s="29"/>
      <c r="F17" s="24">
        <v>6533.5672999999997</v>
      </c>
      <c r="G17" s="25">
        <v>0.96819999999999995</v>
      </c>
      <c r="H17" s="26"/>
      <c r="I17" s="27"/>
    </row>
    <row r="18" spans="1:9" ht="12.9" customHeight="1">
      <c r="A18" s="5"/>
      <c r="B18" s="13" t="s">
        <v>92</v>
      </c>
      <c r="C18" s="14"/>
      <c r="D18" s="14"/>
      <c r="E18" s="14"/>
      <c r="F18" s="14"/>
      <c r="G18" s="14"/>
      <c r="H18" s="15"/>
      <c r="I18" s="16"/>
    </row>
    <row r="19" spans="1:9" ht="12.9" customHeight="1">
      <c r="A19" s="17" t="s">
        <v>93</v>
      </c>
      <c r="B19" s="18" t="s">
        <v>94</v>
      </c>
      <c r="C19" s="14"/>
      <c r="D19" s="14"/>
      <c r="E19" s="19"/>
      <c r="F19" s="20">
        <v>107.96</v>
      </c>
      <c r="G19" s="21">
        <v>1.6E-2</v>
      </c>
      <c r="H19" s="22">
        <v>5.0765252445021607E-2</v>
      </c>
      <c r="I19" s="23"/>
    </row>
    <row r="20" spans="1:9" ht="12.9" customHeight="1">
      <c r="A20" s="5"/>
      <c r="B20" s="13" t="s">
        <v>88</v>
      </c>
      <c r="C20" s="14"/>
      <c r="D20" s="14"/>
      <c r="E20" s="14"/>
      <c r="F20" s="24">
        <v>107.96</v>
      </c>
      <c r="G20" s="25">
        <v>1.6E-2</v>
      </c>
      <c r="H20" s="26"/>
      <c r="I20" s="27"/>
    </row>
    <row r="21" spans="1:9" ht="12.9" customHeight="1">
      <c r="A21" s="5"/>
      <c r="B21" s="28" t="s">
        <v>91</v>
      </c>
      <c r="C21" s="29"/>
      <c r="D21" s="2"/>
      <c r="E21" s="29"/>
      <c r="F21" s="24">
        <v>107.96</v>
      </c>
      <c r="G21" s="25">
        <v>1.6E-2</v>
      </c>
      <c r="H21" s="26"/>
      <c r="I21" s="27"/>
    </row>
    <row r="22" spans="1:9" ht="12.9" customHeight="1">
      <c r="A22" s="5"/>
      <c r="B22" s="28" t="s">
        <v>96</v>
      </c>
      <c r="C22" s="14"/>
      <c r="D22" s="2"/>
      <c r="E22" s="14"/>
      <c r="F22" s="31">
        <v>106.8327</v>
      </c>
      <c r="G22" s="25">
        <v>1.5800000000000002E-2</v>
      </c>
      <c r="H22" s="26"/>
      <c r="I22" s="27"/>
    </row>
    <row r="23" spans="1:9" ht="12.9" customHeight="1">
      <c r="A23" s="5"/>
      <c r="B23" s="32" t="s">
        <v>97</v>
      </c>
      <c r="C23" s="33"/>
      <c r="D23" s="33"/>
      <c r="E23" s="33"/>
      <c r="F23" s="34">
        <v>6748.36</v>
      </c>
      <c r="G23" s="35">
        <v>1</v>
      </c>
      <c r="H23" s="36"/>
      <c r="I23" s="37"/>
    </row>
    <row r="24" spans="1:9" ht="12.9" customHeight="1">
      <c r="A24" s="5"/>
      <c r="B24" s="7"/>
      <c r="C24" s="5"/>
      <c r="D24" s="5"/>
      <c r="E24" s="5"/>
      <c r="F24" s="5"/>
      <c r="G24" s="5"/>
      <c r="H24" s="5"/>
      <c r="I24" s="5"/>
    </row>
    <row r="25" spans="1:9" ht="12.9" customHeight="1">
      <c r="A25" s="5"/>
      <c r="B25" s="4" t="s">
        <v>99</v>
      </c>
      <c r="C25" s="5"/>
      <c r="D25" s="5"/>
      <c r="E25" s="5"/>
      <c r="F25" s="5"/>
      <c r="G25" s="5"/>
      <c r="H25" s="5"/>
      <c r="I25" s="5"/>
    </row>
    <row r="26" spans="1:9" ht="26.1" customHeight="1">
      <c r="A26" s="5"/>
      <c r="B26" s="50" t="s">
        <v>100</v>
      </c>
      <c r="C26" s="50"/>
      <c r="D26" s="50"/>
      <c r="E26" s="50"/>
      <c r="F26" s="50"/>
      <c r="G26" s="50"/>
      <c r="H26" s="50"/>
      <c r="I26" s="50"/>
    </row>
    <row r="27" spans="1:9" ht="12.9" customHeight="1">
      <c r="A27" s="5"/>
      <c r="B27" s="50" t="s">
        <v>101</v>
      </c>
      <c r="C27" s="50"/>
      <c r="D27" s="50"/>
      <c r="E27" s="50"/>
      <c r="F27" s="50"/>
      <c r="G27" s="50"/>
      <c r="H27" s="50"/>
      <c r="I27" s="50"/>
    </row>
    <row r="28" spans="1:9" ht="12.9" customHeight="1">
      <c r="A28" s="5"/>
      <c r="B28" s="50" t="s">
        <v>948</v>
      </c>
      <c r="C28" s="50"/>
      <c r="D28" s="50"/>
      <c r="E28" s="50"/>
      <c r="F28" s="50"/>
      <c r="G28" s="5"/>
      <c r="H28" s="5"/>
      <c r="I28" s="5"/>
    </row>
    <row r="29" spans="1:9" ht="12.9" customHeight="1">
      <c r="A29" s="5"/>
      <c r="B29" s="50"/>
      <c r="C29" s="50"/>
      <c r="D29" s="50"/>
      <c r="E29" s="50"/>
      <c r="F29" s="50"/>
      <c r="G29" s="50"/>
      <c r="H29" s="50"/>
      <c r="I29" s="50"/>
    </row>
    <row r="30" spans="1:9" ht="12.9" customHeight="1">
      <c r="A30" s="5"/>
      <c r="B30" s="50"/>
      <c r="C30" s="50"/>
      <c r="D30" s="50"/>
      <c r="E30" s="50"/>
      <c r="F30" s="50"/>
      <c r="G30" s="50"/>
      <c r="H30" s="50"/>
      <c r="I30" s="50"/>
    </row>
    <row r="31" spans="1:9" ht="12.9" customHeight="1">
      <c r="A31" s="5"/>
      <c r="B31" s="5"/>
      <c r="C31" s="51" t="s">
        <v>949</v>
      </c>
      <c r="D31" s="51"/>
      <c r="E31" s="51"/>
      <c r="F31" s="51"/>
      <c r="G31" s="5"/>
      <c r="H31" s="5"/>
      <c r="I31" s="5"/>
    </row>
    <row r="32" spans="1:9" ht="12.9" customHeight="1">
      <c r="A32" s="5"/>
      <c r="B32" s="38" t="s">
        <v>103</v>
      </c>
      <c r="C32" s="51" t="s">
        <v>104</v>
      </c>
      <c r="D32" s="51"/>
      <c r="E32" s="51"/>
      <c r="F32" s="51"/>
      <c r="G32" s="5"/>
      <c r="H32" s="5"/>
      <c r="I32" s="5"/>
    </row>
    <row r="33" spans="1:9" ht="135" customHeight="1">
      <c r="A33" s="5"/>
      <c r="B33" s="39"/>
      <c r="C33" s="52"/>
      <c r="D33" s="52"/>
      <c r="E33" s="5"/>
      <c r="F33" s="5"/>
      <c r="G33" s="5"/>
      <c r="H33" s="5"/>
      <c r="I33" s="5"/>
    </row>
  </sheetData>
  <mergeCells count="8">
    <mergeCell ref="C31:F31"/>
    <mergeCell ref="C32:F32"/>
    <mergeCell ref="C33:D33"/>
    <mergeCell ref="B26:I26"/>
    <mergeCell ref="B27:I27"/>
    <mergeCell ref="B28:F28"/>
    <mergeCell ref="B29:I29"/>
    <mergeCell ref="B30:I30"/>
  </mergeCells>
  <hyperlinks>
    <hyperlink ref="A1" location="AxisCRISILIBX5050GiltPlusSDLJune2028IndexFund" display="AXISCIB" xr:uid="{00000000-0004-0000-0E00-000000000000}"/>
    <hyperlink ref="B1" location="AxisCRISILIBX5050GiltPlusSDLJune2028IndexFund" display="Axis CRISIL IBX50:50 Gilt Plus SDL June 2028 Index Fund" xr:uid="{00000000-0004-0000-0E00-000001000000}"/>
  </hyperlinks>
  <pageMargins left="0" right="0" top="0" bottom="0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33"/>
  <sheetViews>
    <sheetView workbookViewId="0">
      <selection activeCell="F23" sqref="F23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21</v>
      </c>
      <c r="B1" s="4" t="s">
        <v>22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950</v>
      </c>
      <c r="B7" s="18" t="s">
        <v>951</v>
      </c>
      <c r="C7" s="14" t="s">
        <v>952</v>
      </c>
      <c r="D7" s="14" t="s">
        <v>84</v>
      </c>
      <c r="E7" s="19">
        <v>1700000</v>
      </c>
      <c r="F7" s="20">
        <v>1740.2882999999999</v>
      </c>
      <c r="G7" s="21">
        <v>0.49530000000000002</v>
      </c>
      <c r="H7" s="22">
        <v>5.8015999999999998E-2</v>
      </c>
      <c r="I7" s="23"/>
    </row>
    <row r="8" spans="1:9" ht="12.9" customHeight="1">
      <c r="A8" s="17" t="s">
        <v>953</v>
      </c>
      <c r="B8" s="18" t="s">
        <v>954</v>
      </c>
      <c r="C8" s="14" t="s">
        <v>955</v>
      </c>
      <c r="D8" s="14" t="s">
        <v>84</v>
      </c>
      <c r="E8" s="19">
        <v>1000000</v>
      </c>
      <c r="F8" s="20">
        <v>1018.825</v>
      </c>
      <c r="G8" s="21">
        <v>0.28999999999999998</v>
      </c>
      <c r="H8" s="22">
        <v>6.2600000000000003E-2</v>
      </c>
      <c r="I8" s="23"/>
    </row>
    <row r="9" spans="1:9" ht="12.9" customHeight="1">
      <c r="A9" s="17" t="s">
        <v>956</v>
      </c>
      <c r="B9" s="18" t="s">
        <v>957</v>
      </c>
      <c r="C9" s="14" t="s">
        <v>958</v>
      </c>
      <c r="D9" s="14" t="s">
        <v>84</v>
      </c>
      <c r="E9" s="19">
        <v>250000</v>
      </c>
      <c r="F9" s="20">
        <v>254.1978</v>
      </c>
      <c r="G9" s="21">
        <v>7.2300000000000003E-2</v>
      </c>
      <c r="H9" s="22">
        <v>6.1289999999999997E-2</v>
      </c>
      <c r="I9" s="23"/>
    </row>
    <row r="10" spans="1:9" ht="12.9" customHeight="1">
      <c r="A10" s="17" t="s">
        <v>959</v>
      </c>
      <c r="B10" s="18" t="s">
        <v>960</v>
      </c>
      <c r="C10" s="14" t="s">
        <v>961</v>
      </c>
      <c r="D10" s="14" t="s">
        <v>84</v>
      </c>
      <c r="E10" s="19">
        <v>100000</v>
      </c>
      <c r="F10" s="20">
        <v>101.7325</v>
      </c>
      <c r="G10" s="21">
        <v>2.9000000000000001E-2</v>
      </c>
      <c r="H10" s="22">
        <v>6.1289999999999997E-2</v>
      </c>
      <c r="I10" s="23"/>
    </row>
    <row r="11" spans="1:9" ht="12.9" customHeight="1">
      <c r="A11" s="17" t="s">
        <v>962</v>
      </c>
      <c r="B11" s="18" t="s">
        <v>963</v>
      </c>
      <c r="C11" s="14" t="s">
        <v>964</v>
      </c>
      <c r="D11" s="14" t="s">
        <v>84</v>
      </c>
      <c r="E11" s="19">
        <v>86300</v>
      </c>
      <c r="F11" s="20">
        <v>86.5976</v>
      </c>
      <c r="G11" s="21">
        <v>2.46E-2</v>
      </c>
      <c r="H11" s="22">
        <v>6.2496999999999997E-2</v>
      </c>
      <c r="I11" s="23"/>
    </row>
    <row r="12" spans="1:9" ht="12.9" customHeight="1">
      <c r="A12" s="17" t="s">
        <v>965</v>
      </c>
      <c r="B12" s="18" t="s">
        <v>966</v>
      </c>
      <c r="C12" s="14" t="s">
        <v>967</v>
      </c>
      <c r="D12" s="14" t="s">
        <v>84</v>
      </c>
      <c r="E12" s="19">
        <v>50000</v>
      </c>
      <c r="F12" s="20">
        <v>50.793300000000002</v>
      </c>
      <c r="G12" s="21">
        <v>1.4500000000000001E-2</v>
      </c>
      <c r="H12" s="22">
        <v>6.2600000000000003E-2</v>
      </c>
      <c r="I12" s="23"/>
    </row>
    <row r="13" spans="1:9" ht="12.9" customHeight="1">
      <c r="A13" s="17" t="s">
        <v>968</v>
      </c>
      <c r="B13" s="18" t="s">
        <v>969</v>
      </c>
      <c r="C13" s="14" t="s">
        <v>970</v>
      </c>
      <c r="D13" s="14" t="s">
        <v>84</v>
      </c>
      <c r="E13" s="19">
        <v>50000</v>
      </c>
      <c r="F13" s="20">
        <v>50.762500000000003</v>
      </c>
      <c r="G13" s="21">
        <v>1.44E-2</v>
      </c>
      <c r="H13" s="22">
        <v>6.2600000000000003E-2</v>
      </c>
      <c r="I13" s="23"/>
    </row>
    <row r="14" spans="1:9" ht="12.9" customHeight="1">
      <c r="A14" s="5"/>
      <c r="B14" s="13" t="s">
        <v>88</v>
      </c>
      <c r="C14" s="14"/>
      <c r="D14" s="14"/>
      <c r="E14" s="14"/>
      <c r="F14" s="24">
        <v>3303.1968999999999</v>
      </c>
      <c r="G14" s="25">
        <v>0.94010000000000005</v>
      </c>
      <c r="H14" s="26"/>
      <c r="I14" s="27"/>
    </row>
    <row r="15" spans="1:9" ht="12.9" customHeight="1">
      <c r="A15" s="5"/>
      <c r="B15" s="28" t="s">
        <v>89</v>
      </c>
      <c r="C15" s="2"/>
      <c r="D15" s="2"/>
      <c r="E15" s="2"/>
      <c r="F15" s="26" t="s">
        <v>90</v>
      </c>
      <c r="G15" s="26" t="s">
        <v>90</v>
      </c>
      <c r="H15" s="26"/>
      <c r="I15" s="27"/>
    </row>
    <row r="16" spans="1:9" ht="12.9" customHeight="1">
      <c r="A16" s="5"/>
      <c r="B16" s="28" t="s">
        <v>88</v>
      </c>
      <c r="C16" s="2"/>
      <c r="D16" s="2"/>
      <c r="E16" s="2"/>
      <c r="F16" s="26" t="s">
        <v>90</v>
      </c>
      <c r="G16" s="26" t="s">
        <v>90</v>
      </c>
      <c r="H16" s="26"/>
      <c r="I16" s="27"/>
    </row>
    <row r="17" spans="1:9" ht="12.9" customHeight="1">
      <c r="A17" s="5"/>
      <c r="B17" s="28" t="s">
        <v>91</v>
      </c>
      <c r="C17" s="29"/>
      <c r="D17" s="2"/>
      <c r="E17" s="29"/>
      <c r="F17" s="24">
        <v>3303.1968999999999</v>
      </c>
      <c r="G17" s="25">
        <v>0.94010000000000005</v>
      </c>
      <c r="H17" s="26"/>
      <c r="I17" s="27"/>
    </row>
    <row r="18" spans="1:9" ht="12.9" customHeight="1">
      <c r="A18" s="5"/>
      <c r="B18" s="13" t="s">
        <v>92</v>
      </c>
      <c r="C18" s="14"/>
      <c r="D18" s="14"/>
      <c r="E18" s="14"/>
      <c r="F18" s="14"/>
      <c r="G18" s="14"/>
      <c r="H18" s="15"/>
      <c r="I18" s="16"/>
    </row>
    <row r="19" spans="1:9" ht="12.9" customHeight="1">
      <c r="A19" s="17" t="s">
        <v>93</v>
      </c>
      <c r="B19" s="18" t="s">
        <v>94</v>
      </c>
      <c r="C19" s="14"/>
      <c r="D19" s="14"/>
      <c r="E19" s="19"/>
      <c r="F19" s="20">
        <v>98.6</v>
      </c>
      <c r="G19" s="21">
        <v>2.81E-2</v>
      </c>
      <c r="H19" s="22">
        <v>5.0765010847086518E-2</v>
      </c>
      <c r="I19" s="23"/>
    </row>
    <row r="20" spans="1:9" ht="12.9" customHeight="1">
      <c r="A20" s="5"/>
      <c r="B20" s="13" t="s">
        <v>88</v>
      </c>
      <c r="C20" s="14"/>
      <c r="D20" s="14"/>
      <c r="E20" s="14"/>
      <c r="F20" s="24">
        <v>98.6</v>
      </c>
      <c r="G20" s="25">
        <v>2.81E-2</v>
      </c>
      <c r="H20" s="26"/>
      <c r="I20" s="27"/>
    </row>
    <row r="21" spans="1:9" ht="12.9" customHeight="1">
      <c r="A21" s="5"/>
      <c r="B21" s="28" t="s">
        <v>91</v>
      </c>
      <c r="C21" s="29"/>
      <c r="D21" s="2"/>
      <c r="E21" s="29"/>
      <c r="F21" s="24">
        <v>98.6</v>
      </c>
      <c r="G21" s="25">
        <v>2.81E-2</v>
      </c>
      <c r="H21" s="26"/>
      <c r="I21" s="27"/>
    </row>
    <row r="22" spans="1:9" ht="12.9" customHeight="1">
      <c r="A22" s="5"/>
      <c r="B22" s="28" t="s">
        <v>96</v>
      </c>
      <c r="C22" s="14"/>
      <c r="D22" s="2"/>
      <c r="E22" s="14"/>
      <c r="F22" s="31">
        <v>111.95310000000001</v>
      </c>
      <c r="G22" s="25">
        <v>3.1800000000000002E-2</v>
      </c>
      <c r="H22" s="26"/>
      <c r="I22" s="27"/>
    </row>
    <row r="23" spans="1:9" ht="12.9" customHeight="1">
      <c r="A23" s="5"/>
      <c r="B23" s="32" t="s">
        <v>97</v>
      </c>
      <c r="C23" s="33"/>
      <c r="D23" s="33"/>
      <c r="E23" s="33"/>
      <c r="F23" s="34">
        <v>3513.75</v>
      </c>
      <c r="G23" s="35">
        <v>1</v>
      </c>
      <c r="H23" s="36"/>
      <c r="I23" s="37"/>
    </row>
    <row r="24" spans="1:9" ht="12.9" customHeight="1">
      <c r="A24" s="5"/>
      <c r="B24" s="7"/>
      <c r="C24" s="5"/>
      <c r="D24" s="5"/>
      <c r="E24" s="5"/>
      <c r="F24" s="5"/>
      <c r="G24" s="5"/>
      <c r="H24" s="5"/>
      <c r="I24" s="5"/>
    </row>
    <row r="25" spans="1:9" ht="12.9" customHeight="1">
      <c r="A25" s="5"/>
      <c r="B25" s="4" t="s">
        <v>99</v>
      </c>
      <c r="C25" s="5"/>
      <c r="D25" s="5"/>
      <c r="E25" s="5"/>
      <c r="F25" s="5"/>
      <c r="G25" s="5"/>
      <c r="H25" s="5"/>
      <c r="I25" s="5"/>
    </row>
    <row r="26" spans="1:9" ht="26.1" customHeight="1">
      <c r="A26" s="5"/>
      <c r="B26" s="50" t="s">
        <v>100</v>
      </c>
      <c r="C26" s="50"/>
      <c r="D26" s="50"/>
      <c r="E26" s="50"/>
      <c r="F26" s="50"/>
      <c r="G26" s="50"/>
      <c r="H26" s="50"/>
      <c r="I26" s="50"/>
    </row>
    <row r="27" spans="1:9" ht="12.9" customHeight="1">
      <c r="A27" s="5"/>
      <c r="B27" s="50" t="s">
        <v>101</v>
      </c>
      <c r="C27" s="50"/>
      <c r="D27" s="50"/>
      <c r="E27" s="50"/>
      <c r="F27" s="50"/>
      <c r="G27" s="50"/>
      <c r="H27" s="50"/>
      <c r="I27" s="50"/>
    </row>
    <row r="28" spans="1:9" ht="12.9" customHeight="1">
      <c r="A28" s="5"/>
      <c r="B28" s="50" t="s">
        <v>971</v>
      </c>
      <c r="C28" s="50"/>
      <c r="D28" s="50"/>
      <c r="E28" s="50"/>
      <c r="F28" s="50"/>
      <c r="G28" s="5"/>
      <c r="H28" s="5"/>
      <c r="I28" s="5"/>
    </row>
    <row r="29" spans="1:9" ht="12.9" customHeight="1">
      <c r="A29" s="5"/>
      <c r="B29" s="50"/>
      <c r="C29" s="50"/>
      <c r="D29" s="50"/>
      <c r="E29" s="50"/>
      <c r="F29" s="50"/>
      <c r="G29" s="50"/>
      <c r="H29" s="50"/>
      <c r="I29" s="50"/>
    </row>
    <row r="30" spans="1:9" ht="12.9" customHeight="1">
      <c r="A30" s="5"/>
      <c r="B30" s="50"/>
      <c r="C30" s="50"/>
      <c r="D30" s="50"/>
      <c r="E30" s="50"/>
      <c r="F30" s="50"/>
      <c r="G30" s="50"/>
      <c r="H30" s="50"/>
      <c r="I30" s="50"/>
    </row>
    <row r="31" spans="1:9" ht="12.9" customHeight="1">
      <c r="A31" s="5"/>
      <c r="B31" s="5"/>
      <c r="C31" s="51" t="s">
        <v>972</v>
      </c>
      <c r="D31" s="51"/>
      <c r="E31" s="51"/>
      <c r="F31" s="51"/>
      <c r="G31" s="5"/>
      <c r="H31" s="5"/>
      <c r="I31" s="5"/>
    </row>
    <row r="32" spans="1:9" ht="12.9" customHeight="1">
      <c r="A32" s="5"/>
      <c r="B32" s="38" t="s">
        <v>103</v>
      </c>
      <c r="C32" s="51" t="s">
        <v>104</v>
      </c>
      <c r="D32" s="51"/>
      <c r="E32" s="51"/>
      <c r="F32" s="51"/>
      <c r="G32" s="5"/>
      <c r="H32" s="5"/>
      <c r="I32" s="5"/>
    </row>
    <row r="33" spans="1:9" ht="135" customHeight="1">
      <c r="A33" s="5"/>
      <c r="B33" s="39"/>
      <c r="C33" s="52"/>
      <c r="D33" s="52"/>
      <c r="E33" s="5"/>
      <c r="F33" s="5"/>
      <c r="G33" s="5"/>
      <c r="H33" s="5"/>
      <c r="I33" s="5"/>
    </row>
  </sheetData>
  <mergeCells count="8">
    <mergeCell ref="C31:F31"/>
    <mergeCell ref="C32:F32"/>
    <mergeCell ref="C33:D33"/>
    <mergeCell ref="B26:I26"/>
    <mergeCell ref="B27:I27"/>
    <mergeCell ref="B28:F28"/>
    <mergeCell ref="B29:I29"/>
    <mergeCell ref="B30:I30"/>
  </mergeCells>
  <hyperlinks>
    <hyperlink ref="A1" location="AxisCRISILIBX5050GiltPlusSDLSep2027IndexFund" display="AXISCIG" xr:uid="{00000000-0004-0000-0F00-000000000000}"/>
    <hyperlink ref="B1" location="AxisCRISILIBX5050GiltPlusSDLSep2027IndexFund" display="Axis CRISIL IBX50:50 Gilt Plus SDL Sep 2027 Index Fund" xr:uid="{00000000-0004-0000-0F00-000001000000}"/>
  </hyperlinks>
  <pageMargins left="0" right="0" top="0" bottom="0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80"/>
  <sheetViews>
    <sheetView workbookViewId="0">
      <selection activeCell="B175" sqref="B175:I175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23</v>
      </c>
      <c r="B1" s="4" t="s">
        <v>24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332</v>
      </c>
      <c r="B7" s="18" t="s">
        <v>333</v>
      </c>
      <c r="C7" s="14" t="s">
        <v>334</v>
      </c>
      <c r="D7" s="14" t="s">
        <v>84</v>
      </c>
      <c r="E7" s="19">
        <v>53500000</v>
      </c>
      <c r="F7" s="20">
        <v>55201.406999999999</v>
      </c>
      <c r="G7" s="21">
        <v>5.7700000000000001E-2</v>
      </c>
      <c r="H7" s="22">
        <v>6.7517999999999995E-2</v>
      </c>
      <c r="I7" s="23"/>
    </row>
    <row r="8" spans="1:9" ht="12.9" customHeight="1">
      <c r="A8" s="17" t="s">
        <v>329</v>
      </c>
      <c r="B8" s="18" t="s">
        <v>330</v>
      </c>
      <c r="C8" s="14" t="s">
        <v>331</v>
      </c>
      <c r="D8" s="14" t="s">
        <v>84</v>
      </c>
      <c r="E8" s="19">
        <v>38500000</v>
      </c>
      <c r="F8" s="20">
        <v>38835.450499999999</v>
      </c>
      <c r="G8" s="21">
        <v>4.0599999999999997E-2</v>
      </c>
      <c r="H8" s="22">
        <v>6.7664000000000002E-2</v>
      </c>
      <c r="I8" s="23"/>
    </row>
    <row r="9" spans="1:9" ht="12.9" customHeight="1">
      <c r="A9" s="17" t="s">
        <v>973</v>
      </c>
      <c r="B9" s="18" t="s">
        <v>974</v>
      </c>
      <c r="C9" s="14" t="s">
        <v>975</v>
      </c>
      <c r="D9" s="14" t="s">
        <v>84</v>
      </c>
      <c r="E9" s="19">
        <v>29500000</v>
      </c>
      <c r="F9" s="20">
        <v>29261.728500000001</v>
      </c>
      <c r="G9" s="21">
        <v>3.0599999999999999E-2</v>
      </c>
      <c r="H9" s="22">
        <v>6.7000000000000004E-2</v>
      </c>
      <c r="I9" s="23"/>
    </row>
    <row r="10" spans="1:9" ht="12.9" customHeight="1">
      <c r="A10" s="17" t="s">
        <v>385</v>
      </c>
      <c r="B10" s="18" t="s">
        <v>386</v>
      </c>
      <c r="C10" s="14" t="s">
        <v>387</v>
      </c>
      <c r="D10" s="14" t="s">
        <v>372</v>
      </c>
      <c r="E10" s="19">
        <v>24500</v>
      </c>
      <c r="F10" s="20">
        <v>24817.225999999999</v>
      </c>
      <c r="G10" s="21">
        <v>2.5899999999999999E-2</v>
      </c>
      <c r="H10" s="22">
        <v>6.8699999999999997E-2</v>
      </c>
      <c r="I10" s="23"/>
    </row>
    <row r="11" spans="1:9" ht="12.9" customHeight="1">
      <c r="A11" s="17" t="s">
        <v>363</v>
      </c>
      <c r="B11" s="18" t="s">
        <v>364</v>
      </c>
      <c r="C11" s="14" t="s">
        <v>365</v>
      </c>
      <c r="D11" s="14" t="s">
        <v>109</v>
      </c>
      <c r="E11" s="19">
        <v>20000</v>
      </c>
      <c r="F11" s="20">
        <v>20239.34</v>
      </c>
      <c r="G11" s="21">
        <v>2.1100000000000001E-2</v>
      </c>
      <c r="H11" s="22">
        <v>6.9779999999999995E-2</v>
      </c>
      <c r="I11" s="23"/>
    </row>
    <row r="12" spans="1:9" ht="12.9" customHeight="1">
      <c r="A12" s="17" t="s">
        <v>344</v>
      </c>
      <c r="B12" s="18" t="s">
        <v>345</v>
      </c>
      <c r="C12" s="14" t="s">
        <v>346</v>
      </c>
      <c r="D12" s="14" t="s">
        <v>109</v>
      </c>
      <c r="E12" s="19">
        <v>20000</v>
      </c>
      <c r="F12" s="20">
        <v>20202.5</v>
      </c>
      <c r="G12" s="21">
        <v>2.1100000000000001E-2</v>
      </c>
      <c r="H12" s="22">
        <v>6.9779999999999995E-2</v>
      </c>
      <c r="I12" s="23"/>
    </row>
    <row r="13" spans="1:9" ht="12.9" customHeight="1">
      <c r="A13" s="17" t="s">
        <v>976</v>
      </c>
      <c r="B13" s="18" t="s">
        <v>977</v>
      </c>
      <c r="C13" s="14" t="s">
        <v>978</v>
      </c>
      <c r="D13" s="14" t="s">
        <v>109</v>
      </c>
      <c r="E13" s="19">
        <v>20000</v>
      </c>
      <c r="F13" s="20">
        <v>19941.419999999998</v>
      </c>
      <c r="G13" s="21">
        <v>2.0799999999999999E-2</v>
      </c>
      <c r="H13" s="22">
        <v>7.1275000000000005E-2</v>
      </c>
      <c r="I13" s="23"/>
    </row>
    <row r="14" spans="1:9" ht="12.9" customHeight="1">
      <c r="A14" s="17" t="s">
        <v>538</v>
      </c>
      <c r="B14" s="18" t="s">
        <v>539</v>
      </c>
      <c r="C14" s="14" t="s">
        <v>540</v>
      </c>
      <c r="D14" s="14" t="s">
        <v>109</v>
      </c>
      <c r="E14" s="19">
        <v>19000</v>
      </c>
      <c r="F14" s="20">
        <v>18939.713</v>
      </c>
      <c r="G14" s="21">
        <v>1.9800000000000002E-2</v>
      </c>
      <c r="H14" s="22">
        <v>7.5274999999999995E-2</v>
      </c>
      <c r="I14" s="23"/>
    </row>
    <row r="15" spans="1:9" ht="12.9" customHeight="1">
      <c r="A15" s="17" t="s">
        <v>360</v>
      </c>
      <c r="B15" s="18" t="s">
        <v>361</v>
      </c>
      <c r="C15" s="14" t="s">
        <v>362</v>
      </c>
      <c r="D15" s="14" t="s">
        <v>109</v>
      </c>
      <c r="E15" s="19">
        <v>17500</v>
      </c>
      <c r="F15" s="20">
        <v>18018.192500000001</v>
      </c>
      <c r="G15" s="21">
        <v>1.8800000000000001E-2</v>
      </c>
      <c r="H15" s="22">
        <v>7.1447999999999998E-2</v>
      </c>
      <c r="I15" s="23"/>
    </row>
    <row r="16" spans="1:9" ht="12.9" customHeight="1">
      <c r="A16" s="17" t="s">
        <v>436</v>
      </c>
      <c r="B16" s="18" t="s">
        <v>437</v>
      </c>
      <c r="C16" s="14" t="s">
        <v>438</v>
      </c>
      <c r="D16" s="14" t="s">
        <v>109</v>
      </c>
      <c r="E16" s="19">
        <v>1550</v>
      </c>
      <c r="F16" s="20">
        <v>16072.012000000001</v>
      </c>
      <c r="G16" s="21">
        <v>1.6799999999999999E-2</v>
      </c>
      <c r="H16" s="22">
        <v>6.9400000000000003E-2</v>
      </c>
      <c r="I16" s="23"/>
    </row>
    <row r="17" spans="1:9" ht="12.9" customHeight="1">
      <c r="A17" s="17" t="s">
        <v>979</v>
      </c>
      <c r="B17" s="18" t="s">
        <v>980</v>
      </c>
      <c r="C17" s="14" t="s">
        <v>981</v>
      </c>
      <c r="D17" s="14" t="s">
        <v>109</v>
      </c>
      <c r="E17" s="19">
        <v>14500</v>
      </c>
      <c r="F17" s="20">
        <v>14517.661</v>
      </c>
      <c r="G17" s="21">
        <v>1.52E-2</v>
      </c>
      <c r="H17" s="22">
        <v>7.2700000000000001E-2</v>
      </c>
      <c r="I17" s="23"/>
    </row>
    <row r="18" spans="1:9" ht="12.9" customHeight="1">
      <c r="A18" s="17" t="s">
        <v>982</v>
      </c>
      <c r="B18" s="18" t="s">
        <v>983</v>
      </c>
      <c r="C18" s="14" t="s">
        <v>984</v>
      </c>
      <c r="D18" s="14" t="s">
        <v>109</v>
      </c>
      <c r="E18" s="19">
        <v>13298</v>
      </c>
      <c r="F18" s="20">
        <v>13246.2176</v>
      </c>
      <c r="G18" s="21">
        <v>1.38E-2</v>
      </c>
      <c r="H18" s="22">
        <v>7.5967999999999994E-2</v>
      </c>
      <c r="I18" s="23"/>
    </row>
    <row r="19" spans="1:9" ht="12.9" customHeight="1">
      <c r="A19" s="17" t="s">
        <v>604</v>
      </c>
      <c r="B19" s="18" t="s">
        <v>605</v>
      </c>
      <c r="C19" s="14" t="s">
        <v>606</v>
      </c>
      <c r="D19" s="14" t="s">
        <v>109</v>
      </c>
      <c r="E19" s="19">
        <v>12500</v>
      </c>
      <c r="F19" s="20">
        <v>12676.1</v>
      </c>
      <c r="G19" s="21">
        <v>1.32E-2</v>
      </c>
      <c r="H19" s="22">
        <v>6.8699999999999997E-2</v>
      </c>
      <c r="I19" s="23"/>
    </row>
    <row r="20" spans="1:9" ht="12.9" customHeight="1">
      <c r="A20" s="17" t="s">
        <v>985</v>
      </c>
      <c r="B20" s="18" t="s">
        <v>986</v>
      </c>
      <c r="C20" s="14" t="s">
        <v>987</v>
      </c>
      <c r="D20" s="14" t="s">
        <v>109</v>
      </c>
      <c r="E20" s="19">
        <v>12500</v>
      </c>
      <c r="F20" s="20">
        <v>12621.65</v>
      </c>
      <c r="G20" s="21">
        <v>1.32E-2</v>
      </c>
      <c r="H20" s="22">
        <v>7.1995000000000003E-2</v>
      </c>
      <c r="I20" s="23"/>
    </row>
    <row r="21" spans="1:9" ht="12.9" customHeight="1">
      <c r="A21" s="17" t="s">
        <v>400</v>
      </c>
      <c r="B21" s="18" t="s">
        <v>401</v>
      </c>
      <c r="C21" s="14" t="s">
        <v>402</v>
      </c>
      <c r="D21" s="14" t="s">
        <v>372</v>
      </c>
      <c r="E21" s="19">
        <v>12500</v>
      </c>
      <c r="F21" s="20">
        <v>12453.9625</v>
      </c>
      <c r="G21" s="21">
        <v>1.2999999999999999E-2</v>
      </c>
      <c r="H21" s="22">
        <v>6.8199999999999997E-2</v>
      </c>
      <c r="I21" s="23"/>
    </row>
    <row r="22" spans="1:9" ht="12.9" customHeight="1">
      <c r="A22" s="17" t="s">
        <v>988</v>
      </c>
      <c r="B22" s="18" t="s">
        <v>989</v>
      </c>
      <c r="C22" s="14" t="s">
        <v>990</v>
      </c>
      <c r="D22" s="14" t="s">
        <v>109</v>
      </c>
      <c r="E22" s="19">
        <v>11000</v>
      </c>
      <c r="F22" s="20">
        <v>11070.29</v>
      </c>
      <c r="G22" s="21">
        <v>1.1599999999999999E-2</v>
      </c>
      <c r="H22" s="22">
        <v>7.2724999999999998E-2</v>
      </c>
      <c r="I22" s="23"/>
    </row>
    <row r="23" spans="1:9" ht="12.9" customHeight="1">
      <c r="A23" s="17" t="s">
        <v>991</v>
      </c>
      <c r="B23" s="18" t="s">
        <v>992</v>
      </c>
      <c r="C23" s="14" t="s">
        <v>993</v>
      </c>
      <c r="D23" s="14" t="s">
        <v>994</v>
      </c>
      <c r="E23" s="19">
        <v>11300</v>
      </c>
      <c r="F23" s="20">
        <v>11006.313</v>
      </c>
      <c r="G23" s="21">
        <v>1.15E-2</v>
      </c>
      <c r="H23" s="22">
        <v>7.4912000000000006E-2</v>
      </c>
      <c r="I23" s="23"/>
    </row>
    <row r="24" spans="1:9" ht="12.9" customHeight="1">
      <c r="A24" s="17" t="s">
        <v>995</v>
      </c>
      <c r="B24" s="18" t="s">
        <v>996</v>
      </c>
      <c r="C24" s="14" t="s">
        <v>997</v>
      </c>
      <c r="D24" s="14" t="s">
        <v>109</v>
      </c>
      <c r="E24" s="19">
        <v>10000</v>
      </c>
      <c r="F24" s="20">
        <v>10214.19</v>
      </c>
      <c r="G24" s="21">
        <v>1.0699999999999999E-2</v>
      </c>
      <c r="H24" s="22">
        <v>7.3208999999999996E-2</v>
      </c>
      <c r="I24" s="23"/>
    </row>
    <row r="25" spans="1:9" ht="12.9" customHeight="1">
      <c r="A25" s="17" t="s">
        <v>592</v>
      </c>
      <c r="B25" s="18" t="s">
        <v>593</v>
      </c>
      <c r="C25" s="14" t="s">
        <v>594</v>
      </c>
      <c r="D25" s="14" t="s">
        <v>109</v>
      </c>
      <c r="E25" s="19">
        <v>10000</v>
      </c>
      <c r="F25" s="20">
        <v>10189.870000000001</v>
      </c>
      <c r="G25" s="21">
        <v>1.06E-2</v>
      </c>
      <c r="H25" s="22">
        <v>6.8199999999999997E-2</v>
      </c>
      <c r="I25" s="23"/>
    </row>
    <row r="26" spans="1:9" ht="12.9" customHeight="1">
      <c r="A26" s="17" t="s">
        <v>481</v>
      </c>
      <c r="B26" s="18" t="s">
        <v>482</v>
      </c>
      <c r="C26" s="14" t="s">
        <v>483</v>
      </c>
      <c r="D26" s="14" t="s">
        <v>372</v>
      </c>
      <c r="E26" s="19">
        <v>10000</v>
      </c>
      <c r="F26" s="20">
        <v>10110.41</v>
      </c>
      <c r="G26" s="21">
        <v>1.06E-2</v>
      </c>
      <c r="H26" s="22">
        <v>6.8199999999999997E-2</v>
      </c>
      <c r="I26" s="23"/>
    </row>
    <row r="27" spans="1:9" ht="12.9" customHeight="1">
      <c r="A27" s="17" t="s">
        <v>535</v>
      </c>
      <c r="B27" s="18" t="s">
        <v>536</v>
      </c>
      <c r="C27" s="14" t="s">
        <v>537</v>
      </c>
      <c r="D27" s="14" t="s">
        <v>109</v>
      </c>
      <c r="E27" s="19">
        <v>10000</v>
      </c>
      <c r="F27" s="20">
        <v>9986.31</v>
      </c>
      <c r="G27" s="21">
        <v>1.04E-2</v>
      </c>
      <c r="H27" s="22">
        <v>7.2175000000000003E-2</v>
      </c>
      <c r="I27" s="23"/>
    </row>
    <row r="28" spans="1:9" ht="12.9" customHeight="1">
      <c r="A28" s="17" t="s">
        <v>998</v>
      </c>
      <c r="B28" s="18" t="s">
        <v>999</v>
      </c>
      <c r="C28" s="14" t="s">
        <v>1000</v>
      </c>
      <c r="D28" s="14" t="s">
        <v>109</v>
      </c>
      <c r="E28" s="19">
        <v>10000</v>
      </c>
      <c r="F28" s="20">
        <v>9981.33</v>
      </c>
      <c r="G28" s="21">
        <v>1.04E-2</v>
      </c>
      <c r="H28" s="22">
        <v>6.8250000000000005E-2</v>
      </c>
      <c r="I28" s="23"/>
    </row>
    <row r="29" spans="1:9" ht="12.9" customHeight="1">
      <c r="A29" s="17" t="s">
        <v>1001</v>
      </c>
      <c r="B29" s="18" t="s">
        <v>1002</v>
      </c>
      <c r="C29" s="14" t="s">
        <v>1003</v>
      </c>
      <c r="D29" s="14" t="s">
        <v>109</v>
      </c>
      <c r="E29" s="19">
        <v>10000</v>
      </c>
      <c r="F29" s="20">
        <v>9968.42</v>
      </c>
      <c r="G29" s="21">
        <v>1.04E-2</v>
      </c>
      <c r="H29" s="22">
        <v>7.3970499999999995E-2</v>
      </c>
      <c r="I29" s="23"/>
    </row>
    <row r="30" spans="1:9" ht="12.9" customHeight="1">
      <c r="A30" s="17" t="s">
        <v>1004</v>
      </c>
      <c r="B30" s="18" t="s">
        <v>1005</v>
      </c>
      <c r="C30" s="14" t="s">
        <v>1006</v>
      </c>
      <c r="D30" s="14" t="s">
        <v>372</v>
      </c>
      <c r="E30" s="19">
        <v>10000</v>
      </c>
      <c r="F30" s="20">
        <v>9941.7000000000007</v>
      </c>
      <c r="G30" s="21">
        <v>1.04E-2</v>
      </c>
      <c r="H30" s="22">
        <v>6.8199999999999997E-2</v>
      </c>
      <c r="I30" s="23"/>
    </row>
    <row r="31" spans="1:9" ht="12.9" customHeight="1">
      <c r="A31" s="17" t="s">
        <v>866</v>
      </c>
      <c r="B31" s="18" t="s">
        <v>867</v>
      </c>
      <c r="C31" s="14" t="s">
        <v>868</v>
      </c>
      <c r="D31" s="14" t="s">
        <v>109</v>
      </c>
      <c r="E31" s="19">
        <v>970</v>
      </c>
      <c r="F31" s="20">
        <v>9748.6164000000008</v>
      </c>
      <c r="G31" s="21">
        <v>1.0200000000000001E-2</v>
      </c>
      <c r="H31" s="22">
        <v>7.2999999999999995E-2</v>
      </c>
      <c r="I31" s="23"/>
    </row>
    <row r="32" spans="1:9" ht="12.9" customHeight="1">
      <c r="A32" s="17" t="s">
        <v>347</v>
      </c>
      <c r="B32" s="18" t="s">
        <v>348</v>
      </c>
      <c r="C32" s="14" t="s">
        <v>349</v>
      </c>
      <c r="D32" s="14" t="s">
        <v>109</v>
      </c>
      <c r="E32" s="19">
        <v>9500</v>
      </c>
      <c r="F32" s="20">
        <v>9628.2880000000005</v>
      </c>
      <c r="G32" s="21">
        <v>1.01E-2</v>
      </c>
      <c r="H32" s="22">
        <v>6.9044999999999995E-2</v>
      </c>
      <c r="I32" s="23"/>
    </row>
    <row r="33" spans="1:9" ht="12.9" customHeight="1">
      <c r="A33" s="17" t="s">
        <v>445</v>
      </c>
      <c r="B33" s="18" t="s">
        <v>446</v>
      </c>
      <c r="C33" s="14" t="s">
        <v>447</v>
      </c>
      <c r="D33" s="14" t="s">
        <v>109</v>
      </c>
      <c r="E33" s="19">
        <v>9000</v>
      </c>
      <c r="F33" s="20">
        <v>9121.5720000000001</v>
      </c>
      <c r="G33" s="21">
        <v>9.4999999999999998E-3</v>
      </c>
      <c r="H33" s="22">
        <v>6.8349999999999994E-2</v>
      </c>
      <c r="I33" s="23"/>
    </row>
    <row r="34" spans="1:9" ht="12.9" customHeight="1">
      <c r="A34" s="17" t="s">
        <v>1007</v>
      </c>
      <c r="B34" s="18" t="s">
        <v>1008</v>
      </c>
      <c r="C34" s="14" t="s">
        <v>1009</v>
      </c>
      <c r="D34" s="14" t="s">
        <v>84</v>
      </c>
      <c r="E34" s="19">
        <v>9000000</v>
      </c>
      <c r="F34" s="20">
        <v>8724.5820000000003</v>
      </c>
      <c r="G34" s="21">
        <v>9.1000000000000004E-3</v>
      </c>
      <c r="H34" s="22">
        <v>7.1414000000000005E-2</v>
      </c>
      <c r="I34" s="23"/>
    </row>
    <row r="35" spans="1:9" ht="12.9" customHeight="1">
      <c r="A35" s="17" t="s">
        <v>583</v>
      </c>
      <c r="B35" s="18" t="s">
        <v>584</v>
      </c>
      <c r="C35" s="14" t="s">
        <v>585</v>
      </c>
      <c r="D35" s="14" t="s">
        <v>109</v>
      </c>
      <c r="E35" s="19">
        <v>8500</v>
      </c>
      <c r="F35" s="20">
        <v>8698.7895000000008</v>
      </c>
      <c r="G35" s="21">
        <v>9.1000000000000004E-3</v>
      </c>
      <c r="H35" s="22">
        <v>6.9180000000000005E-2</v>
      </c>
      <c r="I35" s="23"/>
    </row>
    <row r="36" spans="1:9" ht="12.9" customHeight="1">
      <c r="A36" s="17" t="s">
        <v>589</v>
      </c>
      <c r="B36" s="18" t="s">
        <v>590</v>
      </c>
      <c r="C36" s="14" t="s">
        <v>591</v>
      </c>
      <c r="D36" s="14" t="s">
        <v>109</v>
      </c>
      <c r="E36" s="19">
        <v>8500</v>
      </c>
      <c r="F36" s="20">
        <v>8667.7474999999995</v>
      </c>
      <c r="G36" s="21">
        <v>9.1000000000000004E-3</v>
      </c>
      <c r="H36" s="22">
        <v>6.9099999999999995E-2</v>
      </c>
      <c r="I36" s="23"/>
    </row>
    <row r="37" spans="1:9" ht="12.9" customHeight="1">
      <c r="A37" s="17" t="s">
        <v>1010</v>
      </c>
      <c r="B37" s="18" t="s">
        <v>1011</v>
      </c>
      <c r="C37" s="14" t="s">
        <v>1012</v>
      </c>
      <c r="D37" s="14" t="s">
        <v>109</v>
      </c>
      <c r="E37" s="19">
        <v>8000</v>
      </c>
      <c r="F37" s="20">
        <v>8120.7039999999997</v>
      </c>
      <c r="G37" s="21">
        <v>8.5000000000000006E-3</v>
      </c>
      <c r="H37" s="22">
        <v>7.1749999999999994E-2</v>
      </c>
      <c r="I37" s="23"/>
    </row>
    <row r="38" spans="1:9" ht="12.9" customHeight="1">
      <c r="A38" s="17" t="s">
        <v>673</v>
      </c>
      <c r="B38" s="18" t="s">
        <v>674</v>
      </c>
      <c r="C38" s="14" t="s">
        <v>675</v>
      </c>
      <c r="D38" s="14" t="s">
        <v>109</v>
      </c>
      <c r="E38" s="19">
        <v>7500</v>
      </c>
      <c r="F38" s="20">
        <v>7670.67</v>
      </c>
      <c r="G38" s="21">
        <v>8.0000000000000002E-3</v>
      </c>
      <c r="H38" s="22">
        <v>7.1349999999999997E-2</v>
      </c>
      <c r="I38" s="23"/>
    </row>
    <row r="39" spans="1:9" ht="12.9" customHeight="1">
      <c r="A39" s="17" t="s">
        <v>484</v>
      </c>
      <c r="B39" s="18" t="s">
        <v>485</v>
      </c>
      <c r="C39" s="14" t="s">
        <v>486</v>
      </c>
      <c r="D39" s="14" t="s">
        <v>109</v>
      </c>
      <c r="E39" s="19">
        <v>7500</v>
      </c>
      <c r="F39" s="20">
        <v>7665.4350000000004</v>
      </c>
      <c r="G39" s="21">
        <v>8.0000000000000002E-3</v>
      </c>
      <c r="H39" s="22">
        <v>7.2283E-2</v>
      </c>
      <c r="I39" s="23"/>
    </row>
    <row r="40" spans="1:9" ht="12.9" customHeight="1">
      <c r="A40" s="17" t="s">
        <v>490</v>
      </c>
      <c r="B40" s="18" t="s">
        <v>491</v>
      </c>
      <c r="C40" s="14" t="s">
        <v>492</v>
      </c>
      <c r="D40" s="14" t="s">
        <v>109</v>
      </c>
      <c r="E40" s="19">
        <v>7500</v>
      </c>
      <c r="F40" s="20">
        <v>7642.9575000000004</v>
      </c>
      <c r="G40" s="21">
        <v>8.0000000000000002E-3</v>
      </c>
      <c r="H40" s="22">
        <v>6.9500000000000006E-2</v>
      </c>
      <c r="I40" s="23"/>
    </row>
    <row r="41" spans="1:9" ht="12.9" customHeight="1">
      <c r="A41" s="17" t="s">
        <v>1013</v>
      </c>
      <c r="B41" s="18" t="s">
        <v>1014</v>
      </c>
      <c r="C41" s="14" t="s">
        <v>1015</v>
      </c>
      <c r="D41" s="14" t="s">
        <v>372</v>
      </c>
      <c r="E41" s="19">
        <v>7500</v>
      </c>
      <c r="F41" s="20">
        <v>7640.64</v>
      </c>
      <c r="G41" s="21">
        <v>8.0000000000000002E-3</v>
      </c>
      <c r="H41" s="22">
        <v>6.93E-2</v>
      </c>
      <c r="I41" s="23"/>
    </row>
    <row r="42" spans="1:9" ht="12.9" customHeight="1">
      <c r="A42" s="17" t="s">
        <v>382</v>
      </c>
      <c r="B42" s="18" t="s">
        <v>383</v>
      </c>
      <c r="C42" s="14" t="s">
        <v>384</v>
      </c>
      <c r="D42" s="14" t="s">
        <v>109</v>
      </c>
      <c r="E42" s="19">
        <v>7500</v>
      </c>
      <c r="F42" s="20">
        <v>7607.85</v>
      </c>
      <c r="G42" s="21">
        <v>7.9000000000000008E-3</v>
      </c>
      <c r="H42" s="22">
        <v>6.88E-2</v>
      </c>
      <c r="I42" s="23"/>
    </row>
    <row r="43" spans="1:9" ht="12.9" customHeight="1">
      <c r="A43" s="17" t="s">
        <v>341</v>
      </c>
      <c r="B43" s="18" t="s">
        <v>342</v>
      </c>
      <c r="C43" s="14" t="s">
        <v>343</v>
      </c>
      <c r="D43" s="14" t="s">
        <v>109</v>
      </c>
      <c r="E43" s="19">
        <v>7500</v>
      </c>
      <c r="F43" s="20">
        <v>7581.4425000000001</v>
      </c>
      <c r="G43" s="21">
        <v>7.9000000000000008E-3</v>
      </c>
      <c r="H43" s="22">
        <v>6.8699999999999997E-2</v>
      </c>
      <c r="I43" s="23"/>
    </row>
    <row r="44" spans="1:9" ht="12.9" customHeight="1">
      <c r="A44" s="17" t="s">
        <v>1016</v>
      </c>
      <c r="B44" s="18" t="s">
        <v>1017</v>
      </c>
      <c r="C44" s="14" t="s">
        <v>1018</v>
      </c>
      <c r="D44" s="14" t="s">
        <v>109</v>
      </c>
      <c r="E44" s="19">
        <v>750</v>
      </c>
      <c r="F44" s="20">
        <v>7559.8950000000004</v>
      </c>
      <c r="G44" s="21">
        <v>7.9000000000000008E-3</v>
      </c>
      <c r="H44" s="22">
        <v>7.3599999999999999E-2</v>
      </c>
      <c r="I44" s="23"/>
    </row>
    <row r="45" spans="1:9" ht="12.9" customHeight="1">
      <c r="A45" s="17" t="s">
        <v>1019</v>
      </c>
      <c r="B45" s="18" t="s">
        <v>1020</v>
      </c>
      <c r="C45" s="14" t="s">
        <v>1021</v>
      </c>
      <c r="D45" s="14" t="s">
        <v>109</v>
      </c>
      <c r="E45" s="19">
        <v>7500</v>
      </c>
      <c r="F45" s="20">
        <v>7514.61</v>
      </c>
      <c r="G45" s="21">
        <v>7.9000000000000008E-3</v>
      </c>
      <c r="H45" s="22">
        <v>7.3748999999999995E-2</v>
      </c>
      <c r="I45" s="23"/>
    </row>
    <row r="46" spans="1:9" ht="12.9" customHeight="1">
      <c r="A46" s="17" t="s">
        <v>397</v>
      </c>
      <c r="B46" s="18" t="s">
        <v>398</v>
      </c>
      <c r="C46" s="14" t="s">
        <v>399</v>
      </c>
      <c r="D46" s="14" t="s">
        <v>109</v>
      </c>
      <c r="E46" s="19">
        <v>7500</v>
      </c>
      <c r="F46" s="20">
        <v>7501.4174999999996</v>
      </c>
      <c r="G46" s="21">
        <v>7.7999999999999996E-3</v>
      </c>
      <c r="H46" s="22">
        <v>7.0699999999999999E-2</v>
      </c>
      <c r="I46" s="23"/>
    </row>
    <row r="47" spans="1:9" ht="12.9" customHeight="1">
      <c r="A47" s="17" t="s">
        <v>1022</v>
      </c>
      <c r="B47" s="18" t="s">
        <v>1023</v>
      </c>
      <c r="C47" s="14" t="s">
        <v>1024</v>
      </c>
      <c r="D47" s="14" t="s">
        <v>1025</v>
      </c>
      <c r="E47" s="19">
        <v>7500</v>
      </c>
      <c r="F47" s="20">
        <v>7459.4250000000002</v>
      </c>
      <c r="G47" s="21">
        <v>7.7999999999999996E-3</v>
      </c>
      <c r="H47" s="22">
        <v>7.6246999999999995E-2</v>
      </c>
      <c r="I47" s="23"/>
    </row>
    <row r="48" spans="1:9" ht="12.9" customHeight="1">
      <c r="A48" s="17" t="s">
        <v>580</v>
      </c>
      <c r="B48" s="18" t="s">
        <v>581</v>
      </c>
      <c r="C48" s="14" t="s">
        <v>582</v>
      </c>
      <c r="D48" s="14" t="s">
        <v>109</v>
      </c>
      <c r="E48" s="19">
        <v>7000</v>
      </c>
      <c r="F48" s="20">
        <v>7170.6949999999997</v>
      </c>
      <c r="G48" s="21">
        <v>7.4999999999999997E-3</v>
      </c>
      <c r="H48" s="22">
        <v>7.2499999999999995E-2</v>
      </c>
      <c r="I48" s="23"/>
    </row>
    <row r="49" spans="1:9" ht="12.9" customHeight="1">
      <c r="A49" s="17" t="s">
        <v>1026</v>
      </c>
      <c r="B49" s="18" t="s">
        <v>1027</v>
      </c>
      <c r="C49" s="14" t="s">
        <v>1028</v>
      </c>
      <c r="D49" s="14" t="s">
        <v>109</v>
      </c>
      <c r="E49" s="19">
        <v>650</v>
      </c>
      <c r="F49" s="20">
        <v>6758.9014999999999</v>
      </c>
      <c r="G49" s="21">
        <v>7.1000000000000004E-3</v>
      </c>
      <c r="H49" s="22">
        <v>6.9400000000000003E-2</v>
      </c>
      <c r="I49" s="23"/>
    </row>
    <row r="50" spans="1:9" ht="12.9" customHeight="1">
      <c r="A50" s="17" t="s">
        <v>1029</v>
      </c>
      <c r="B50" s="18" t="s">
        <v>1030</v>
      </c>
      <c r="C50" s="14" t="s">
        <v>1031</v>
      </c>
      <c r="D50" s="14" t="s">
        <v>109</v>
      </c>
      <c r="E50" s="19">
        <v>6500</v>
      </c>
      <c r="F50" s="20">
        <v>6580.1840000000002</v>
      </c>
      <c r="G50" s="21">
        <v>6.8999999999999999E-3</v>
      </c>
      <c r="H50" s="22">
        <v>6.8349999999999994E-2</v>
      </c>
      <c r="I50" s="23"/>
    </row>
    <row r="51" spans="1:9" ht="12.9" customHeight="1">
      <c r="A51" s="17" t="s">
        <v>1032</v>
      </c>
      <c r="B51" s="18" t="s">
        <v>1033</v>
      </c>
      <c r="C51" s="14" t="s">
        <v>1034</v>
      </c>
      <c r="D51" s="14" t="s">
        <v>109</v>
      </c>
      <c r="E51" s="19">
        <v>600</v>
      </c>
      <c r="F51" s="20">
        <v>6268.482</v>
      </c>
      <c r="G51" s="21">
        <v>6.4999999999999997E-3</v>
      </c>
      <c r="H51" s="22">
        <v>6.9400000000000003E-2</v>
      </c>
      <c r="I51" s="23"/>
    </row>
    <row r="52" spans="1:9" ht="12.9" customHeight="1">
      <c r="A52" s="17" t="s">
        <v>1035</v>
      </c>
      <c r="B52" s="18" t="s">
        <v>1036</v>
      </c>
      <c r="C52" s="14" t="s">
        <v>1037</v>
      </c>
      <c r="D52" s="14" t="s">
        <v>84</v>
      </c>
      <c r="E52" s="19">
        <v>6000000</v>
      </c>
      <c r="F52" s="20">
        <v>6021.4740000000002</v>
      </c>
      <c r="G52" s="21">
        <v>6.3E-3</v>
      </c>
      <c r="H52" s="22">
        <v>7.5925999999999993E-2</v>
      </c>
      <c r="I52" s="23"/>
    </row>
    <row r="53" spans="1:9" ht="12.9" customHeight="1">
      <c r="A53" s="17" t="s">
        <v>1038</v>
      </c>
      <c r="B53" s="18" t="s">
        <v>1039</v>
      </c>
      <c r="C53" s="14" t="s">
        <v>1040</v>
      </c>
      <c r="D53" s="14" t="s">
        <v>109</v>
      </c>
      <c r="E53" s="19">
        <v>6000</v>
      </c>
      <c r="F53" s="20">
        <v>5997.93</v>
      </c>
      <c r="G53" s="21">
        <v>6.3E-3</v>
      </c>
      <c r="H53" s="22">
        <v>7.3138999999999996E-2</v>
      </c>
      <c r="I53" s="23"/>
    </row>
    <row r="54" spans="1:9" ht="12.9" customHeight="1">
      <c r="A54" s="17" t="s">
        <v>1041</v>
      </c>
      <c r="B54" s="18" t="s">
        <v>1042</v>
      </c>
      <c r="C54" s="14" t="s">
        <v>1043</v>
      </c>
      <c r="D54" s="14" t="s">
        <v>109</v>
      </c>
      <c r="E54" s="19">
        <v>550</v>
      </c>
      <c r="F54" s="20">
        <v>5644.3365000000003</v>
      </c>
      <c r="G54" s="21">
        <v>5.8999999999999999E-3</v>
      </c>
      <c r="H54" s="22">
        <v>7.0300000000000001E-2</v>
      </c>
      <c r="I54" s="23"/>
    </row>
    <row r="55" spans="1:9" ht="12.9" customHeight="1">
      <c r="A55" s="17" t="s">
        <v>1044</v>
      </c>
      <c r="B55" s="18" t="s">
        <v>1045</v>
      </c>
      <c r="C55" s="14" t="s">
        <v>1046</v>
      </c>
      <c r="D55" s="14" t="s">
        <v>109</v>
      </c>
      <c r="E55" s="19">
        <v>5500</v>
      </c>
      <c r="F55" s="20">
        <v>5605.4184999999998</v>
      </c>
      <c r="G55" s="21">
        <v>5.8999999999999999E-3</v>
      </c>
      <c r="H55" s="22">
        <v>6.7924999999999999E-2</v>
      </c>
      <c r="I55" s="23"/>
    </row>
    <row r="56" spans="1:9" ht="12.9" customHeight="1">
      <c r="A56" s="17" t="s">
        <v>661</v>
      </c>
      <c r="B56" s="18" t="s">
        <v>662</v>
      </c>
      <c r="C56" s="14" t="s">
        <v>663</v>
      </c>
      <c r="D56" s="14" t="s">
        <v>109</v>
      </c>
      <c r="E56" s="19">
        <v>5500</v>
      </c>
      <c r="F56" s="20">
        <v>5583.2974999999997</v>
      </c>
      <c r="G56" s="21">
        <v>5.7999999999999996E-3</v>
      </c>
      <c r="H56" s="22">
        <v>6.9779999999999995E-2</v>
      </c>
      <c r="I56" s="23"/>
    </row>
    <row r="57" spans="1:9" ht="12.9" customHeight="1">
      <c r="A57" s="17" t="s">
        <v>571</v>
      </c>
      <c r="B57" s="18" t="s">
        <v>572</v>
      </c>
      <c r="C57" s="14" t="s">
        <v>573</v>
      </c>
      <c r="D57" s="14" t="s">
        <v>109</v>
      </c>
      <c r="E57" s="19">
        <v>5500</v>
      </c>
      <c r="F57" s="20">
        <v>5579.7939999999999</v>
      </c>
      <c r="G57" s="21">
        <v>5.7999999999999996E-3</v>
      </c>
      <c r="H57" s="22">
        <v>7.2700000000000001E-2</v>
      </c>
      <c r="I57" s="23"/>
    </row>
    <row r="58" spans="1:9" ht="12.9" customHeight="1">
      <c r="A58" s="17" t="s">
        <v>1047</v>
      </c>
      <c r="B58" s="18" t="s">
        <v>1048</v>
      </c>
      <c r="C58" s="14" t="s">
        <v>1049</v>
      </c>
      <c r="D58" s="14" t="s">
        <v>372</v>
      </c>
      <c r="E58" s="19">
        <v>5500</v>
      </c>
      <c r="F58" s="20">
        <v>5495.6715000000004</v>
      </c>
      <c r="G58" s="21">
        <v>5.7000000000000002E-3</v>
      </c>
      <c r="H58" s="22">
        <v>7.1586999999999998E-2</v>
      </c>
      <c r="I58" s="23"/>
    </row>
    <row r="59" spans="1:9" ht="12.9" customHeight="1">
      <c r="A59" s="17" t="s">
        <v>1050</v>
      </c>
      <c r="B59" s="18" t="s">
        <v>1051</v>
      </c>
      <c r="C59" s="14" t="s">
        <v>1052</v>
      </c>
      <c r="D59" s="14" t="s">
        <v>109</v>
      </c>
      <c r="E59" s="19">
        <v>5000</v>
      </c>
      <c r="F59" s="20">
        <v>5124.5649999999996</v>
      </c>
      <c r="G59" s="21">
        <v>5.4000000000000003E-3</v>
      </c>
      <c r="H59" s="22">
        <v>7.145E-2</v>
      </c>
      <c r="I59" s="23"/>
    </row>
    <row r="60" spans="1:9" ht="12.9" customHeight="1">
      <c r="A60" s="17" t="s">
        <v>586</v>
      </c>
      <c r="B60" s="18" t="s">
        <v>587</v>
      </c>
      <c r="C60" s="14" t="s">
        <v>588</v>
      </c>
      <c r="D60" s="14" t="s">
        <v>109</v>
      </c>
      <c r="E60" s="19">
        <v>5000</v>
      </c>
      <c r="F60" s="20">
        <v>5115.58</v>
      </c>
      <c r="G60" s="21">
        <v>5.3E-3</v>
      </c>
      <c r="H60" s="22">
        <v>7.3179999999999995E-2</v>
      </c>
      <c r="I60" s="23"/>
    </row>
    <row r="61" spans="1:9" ht="12.9" customHeight="1">
      <c r="A61" s="17" t="s">
        <v>1053</v>
      </c>
      <c r="B61" s="18" t="s">
        <v>1054</v>
      </c>
      <c r="C61" s="14" t="s">
        <v>1055</v>
      </c>
      <c r="D61" s="14" t="s">
        <v>372</v>
      </c>
      <c r="E61" s="19">
        <v>5000</v>
      </c>
      <c r="F61" s="20">
        <v>5086.5349999999999</v>
      </c>
      <c r="G61" s="21">
        <v>5.3E-3</v>
      </c>
      <c r="H61" s="22">
        <v>7.1800000000000003E-2</v>
      </c>
      <c r="I61" s="23"/>
    </row>
    <row r="62" spans="1:9" ht="12.9" customHeight="1">
      <c r="A62" s="17" t="s">
        <v>1056</v>
      </c>
      <c r="B62" s="18" t="s">
        <v>1057</v>
      </c>
      <c r="C62" s="14" t="s">
        <v>1058</v>
      </c>
      <c r="D62" s="14" t="s">
        <v>109</v>
      </c>
      <c r="E62" s="19">
        <v>5000</v>
      </c>
      <c r="F62" s="20">
        <v>5077.165</v>
      </c>
      <c r="G62" s="21">
        <v>5.3E-3</v>
      </c>
      <c r="H62" s="22">
        <v>7.4249999999999997E-2</v>
      </c>
      <c r="I62" s="23"/>
    </row>
    <row r="63" spans="1:9" ht="12.9" customHeight="1">
      <c r="A63" s="17" t="s">
        <v>415</v>
      </c>
      <c r="B63" s="18" t="s">
        <v>416</v>
      </c>
      <c r="C63" s="14" t="s">
        <v>417</v>
      </c>
      <c r="D63" s="14" t="s">
        <v>109</v>
      </c>
      <c r="E63" s="19">
        <v>5000</v>
      </c>
      <c r="F63" s="20">
        <v>5073.7049999999999</v>
      </c>
      <c r="G63" s="21">
        <v>5.3E-3</v>
      </c>
      <c r="H63" s="22">
        <v>6.9779999999999995E-2</v>
      </c>
      <c r="I63" s="23"/>
    </row>
    <row r="64" spans="1:9" ht="12.9" customHeight="1">
      <c r="A64" s="17" t="s">
        <v>1059</v>
      </c>
      <c r="B64" s="18" t="s">
        <v>1060</v>
      </c>
      <c r="C64" s="14" t="s">
        <v>1061</v>
      </c>
      <c r="D64" s="14" t="s">
        <v>109</v>
      </c>
      <c r="E64" s="19">
        <v>5000</v>
      </c>
      <c r="F64" s="20">
        <v>5064.45</v>
      </c>
      <c r="G64" s="21">
        <v>5.3E-3</v>
      </c>
      <c r="H64" s="22">
        <v>6.8870000000000001E-2</v>
      </c>
      <c r="I64" s="23"/>
    </row>
    <row r="65" spans="1:9" ht="12.9" customHeight="1">
      <c r="A65" s="17" t="s">
        <v>335</v>
      </c>
      <c r="B65" s="18" t="s">
        <v>336</v>
      </c>
      <c r="C65" s="14" t="s">
        <v>337</v>
      </c>
      <c r="D65" s="14" t="s">
        <v>109</v>
      </c>
      <c r="E65" s="19">
        <v>5000</v>
      </c>
      <c r="F65" s="20">
        <v>5055.8850000000002</v>
      </c>
      <c r="G65" s="21">
        <v>5.3E-3</v>
      </c>
      <c r="H65" s="22">
        <v>6.88E-2</v>
      </c>
      <c r="I65" s="23"/>
    </row>
    <row r="66" spans="1:9" ht="12.9" customHeight="1">
      <c r="A66" s="17" t="s">
        <v>1062</v>
      </c>
      <c r="B66" s="18" t="s">
        <v>1063</v>
      </c>
      <c r="C66" s="14" t="s">
        <v>1064</v>
      </c>
      <c r="D66" s="14" t="s">
        <v>109</v>
      </c>
      <c r="E66" s="19">
        <v>5000</v>
      </c>
      <c r="F66" s="20">
        <v>5054.5600000000004</v>
      </c>
      <c r="G66" s="21">
        <v>5.3E-3</v>
      </c>
      <c r="H66" s="22">
        <v>7.0949999999999999E-2</v>
      </c>
      <c r="I66" s="23"/>
    </row>
    <row r="67" spans="1:9" ht="12.9" customHeight="1">
      <c r="A67" s="17" t="s">
        <v>469</v>
      </c>
      <c r="B67" s="18" t="s">
        <v>470</v>
      </c>
      <c r="C67" s="14" t="s">
        <v>471</v>
      </c>
      <c r="D67" s="14" t="s">
        <v>109</v>
      </c>
      <c r="E67" s="19">
        <v>500</v>
      </c>
      <c r="F67" s="20">
        <v>5051.5050000000001</v>
      </c>
      <c r="G67" s="21">
        <v>5.3E-3</v>
      </c>
      <c r="H67" s="22">
        <v>7.0699999999999999E-2</v>
      </c>
      <c r="I67" s="23"/>
    </row>
    <row r="68" spans="1:9" ht="12.9" customHeight="1">
      <c r="A68" s="17" t="s">
        <v>424</v>
      </c>
      <c r="B68" s="18" t="s">
        <v>425</v>
      </c>
      <c r="C68" s="14" t="s">
        <v>426</v>
      </c>
      <c r="D68" s="14" t="s">
        <v>353</v>
      </c>
      <c r="E68" s="19">
        <v>5000</v>
      </c>
      <c r="F68" s="20">
        <v>5047.99</v>
      </c>
      <c r="G68" s="21">
        <v>5.3E-3</v>
      </c>
      <c r="H68" s="22">
        <v>7.145E-2</v>
      </c>
      <c r="I68" s="23"/>
    </row>
    <row r="69" spans="1:9" ht="12.9" customHeight="1">
      <c r="A69" s="17" t="s">
        <v>619</v>
      </c>
      <c r="B69" s="18" t="s">
        <v>620</v>
      </c>
      <c r="C69" s="14" t="s">
        <v>621</v>
      </c>
      <c r="D69" s="14" t="s">
        <v>109</v>
      </c>
      <c r="E69" s="19">
        <v>5000</v>
      </c>
      <c r="F69" s="20">
        <v>5044.6049999999996</v>
      </c>
      <c r="G69" s="21">
        <v>5.3E-3</v>
      </c>
      <c r="H69" s="22">
        <v>7.2599999999999998E-2</v>
      </c>
      <c r="I69" s="23"/>
    </row>
    <row r="70" spans="1:9" ht="12.9" customHeight="1">
      <c r="A70" s="17" t="s">
        <v>1065</v>
      </c>
      <c r="B70" s="18" t="s">
        <v>1066</v>
      </c>
      <c r="C70" s="14" t="s">
        <v>1067</v>
      </c>
      <c r="D70" s="14" t="s">
        <v>84</v>
      </c>
      <c r="E70" s="19">
        <v>5000000</v>
      </c>
      <c r="F70" s="20">
        <v>5005.01</v>
      </c>
      <c r="G70" s="21">
        <v>5.1999999999999998E-3</v>
      </c>
      <c r="H70" s="22">
        <v>7.6146000000000005E-2</v>
      </c>
      <c r="I70" s="23"/>
    </row>
    <row r="71" spans="1:9" ht="12.9" customHeight="1">
      <c r="A71" s="17" t="s">
        <v>1068</v>
      </c>
      <c r="B71" s="18" t="s">
        <v>1069</v>
      </c>
      <c r="C71" s="14" t="s">
        <v>1070</v>
      </c>
      <c r="D71" s="14" t="s">
        <v>109</v>
      </c>
      <c r="E71" s="19">
        <v>5000</v>
      </c>
      <c r="F71" s="20">
        <v>5004.4449999999997</v>
      </c>
      <c r="G71" s="21">
        <v>5.1999999999999998E-3</v>
      </c>
      <c r="H71" s="22">
        <v>7.1900000000000006E-2</v>
      </c>
      <c r="I71" s="23"/>
    </row>
    <row r="72" spans="1:9" ht="12.9" customHeight="1">
      <c r="A72" s="17" t="s">
        <v>640</v>
      </c>
      <c r="B72" s="18" t="s">
        <v>641</v>
      </c>
      <c r="C72" s="14" t="s">
        <v>642</v>
      </c>
      <c r="D72" s="14" t="s">
        <v>109</v>
      </c>
      <c r="E72" s="19">
        <v>5000</v>
      </c>
      <c r="F72" s="20">
        <v>4997.0749999999998</v>
      </c>
      <c r="G72" s="21">
        <v>5.1999999999999998E-3</v>
      </c>
      <c r="H72" s="22">
        <v>7.4999999999999997E-2</v>
      </c>
      <c r="I72" s="23"/>
    </row>
    <row r="73" spans="1:9" ht="12.9" customHeight="1">
      <c r="A73" s="17" t="s">
        <v>1071</v>
      </c>
      <c r="B73" s="18" t="s">
        <v>1072</v>
      </c>
      <c r="C73" s="14" t="s">
        <v>1073</v>
      </c>
      <c r="D73" s="14" t="s">
        <v>372</v>
      </c>
      <c r="E73" s="19">
        <v>5000</v>
      </c>
      <c r="F73" s="20">
        <v>4975.9849999999997</v>
      </c>
      <c r="G73" s="21">
        <v>5.1999999999999998E-3</v>
      </c>
      <c r="H73" s="22">
        <v>7.2349999999999998E-2</v>
      </c>
      <c r="I73" s="23"/>
    </row>
    <row r="74" spans="1:9" ht="12.9" customHeight="1">
      <c r="A74" s="17" t="s">
        <v>547</v>
      </c>
      <c r="B74" s="18" t="s">
        <v>548</v>
      </c>
      <c r="C74" s="14" t="s">
        <v>549</v>
      </c>
      <c r="D74" s="14" t="s">
        <v>109</v>
      </c>
      <c r="E74" s="19">
        <v>5000</v>
      </c>
      <c r="F74" s="20">
        <v>4966.7299999999996</v>
      </c>
      <c r="G74" s="21">
        <v>5.1999999999999998E-3</v>
      </c>
      <c r="H74" s="22">
        <v>6.8870000000000001E-2</v>
      </c>
      <c r="I74" s="23"/>
    </row>
    <row r="75" spans="1:9" ht="12.9" customHeight="1">
      <c r="A75" s="17" t="s">
        <v>1074</v>
      </c>
      <c r="B75" s="18" t="s">
        <v>1075</v>
      </c>
      <c r="C75" s="14" t="s">
        <v>1076</v>
      </c>
      <c r="D75" s="14" t="s">
        <v>109</v>
      </c>
      <c r="E75" s="19">
        <v>450</v>
      </c>
      <c r="F75" s="20">
        <v>4537.3860000000004</v>
      </c>
      <c r="G75" s="21">
        <v>4.7000000000000002E-3</v>
      </c>
      <c r="H75" s="22">
        <v>7.0650000000000004E-2</v>
      </c>
      <c r="I75" s="23"/>
    </row>
    <row r="76" spans="1:9" ht="12.9" customHeight="1">
      <c r="A76" s="17" t="s">
        <v>529</v>
      </c>
      <c r="B76" s="18" t="s">
        <v>530</v>
      </c>
      <c r="C76" s="14" t="s">
        <v>531</v>
      </c>
      <c r="D76" s="14" t="s">
        <v>109</v>
      </c>
      <c r="E76" s="19">
        <v>4500</v>
      </c>
      <c r="F76" s="20">
        <v>4508.9865</v>
      </c>
      <c r="G76" s="21">
        <v>4.7000000000000002E-3</v>
      </c>
      <c r="H76" s="22">
        <v>7.1473999999999996E-2</v>
      </c>
      <c r="I76" s="23"/>
    </row>
    <row r="77" spans="1:9" ht="12.9" customHeight="1">
      <c r="A77" s="17" t="s">
        <v>1077</v>
      </c>
      <c r="B77" s="18" t="s">
        <v>1078</v>
      </c>
      <c r="C77" s="14" t="s">
        <v>1079</v>
      </c>
      <c r="D77" s="14" t="s">
        <v>109</v>
      </c>
      <c r="E77" s="19">
        <v>4000</v>
      </c>
      <c r="F77" s="20">
        <v>4052.5120000000002</v>
      </c>
      <c r="G77" s="21">
        <v>4.1999999999999997E-3</v>
      </c>
      <c r="H77" s="22">
        <v>7.2849999999999998E-2</v>
      </c>
      <c r="I77" s="23"/>
    </row>
    <row r="78" spans="1:9" ht="12.9" customHeight="1">
      <c r="A78" s="17" t="s">
        <v>1080</v>
      </c>
      <c r="B78" s="18" t="s">
        <v>1081</v>
      </c>
      <c r="C78" s="14" t="s">
        <v>1082</v>
      </c>
      <c r="D78" s="14" t="s">
        <v>109</v>
      </c>
      <c r="E78" s="19">
        <v>4000</v>
      </c>
      <c r="F78" s="20">
        <v>4047.8119999999999</v>
      </c>
      <c r="G78" s="21">
        <v>4.1999999999999997E-3</v>
      </c>
      <c r="H78" s="22">
        <v>7.3056999999999997E-2</v>
      </c>
      <c r="I78" s="23"/>
    </row>
    <row r="79" spans="1:9" ht="12.9" customHeight="1">
      <c r="A79" s="17" t="s">
        <v>1083</v>
      </c>
      <c r="B79" s="18" t="s">
        <v>1084</v>
      </c>
      <c r="C79" s="14" t="s">
        <v>1085</v>
      </c>
      <c r="D79" s="14" t="s">
        <v>109</v>
      </c>
      <c r="E79" s="19">
        <v>400</v>
      </c>
      <c r="F79" s="20">
        <v>4039.4360000000001</v>
      </c>
      <c r="G79" s="21">
        <v>4.1999999999999997E-3</v>
      </c>
      <c r="H79" s="22">
        <v>7.1749999999999994E-2</v>
      </c>
      <c r="I79" s="23"/>
    </row>
    <row r="80" spans="1:9" ht="12.9" customHeight="1">
      <c r="A80" s="17" t="s">
        <v>1086</v>
      </c>
      <c r="B80" s="18" t="s">
        <v>1087</v>
      </c>
      <c r="C80" s="14" t="s">
        <v>1088</v>
      </c>
      <c r="D80" s="14" t="s">
        <v>109</v>
      </c>
      <c r="E80" s="19">
        <v>5000</v>
      </c>
      <c r="F80" s="20">
        <v>3829.83</v>
      </c>
      <c r="G80" s="21">
        <v>4.0000000000000001E-3</v>
      </c>
      <c r="H80" s="22">
        <v>7.0300000000000001E-2</v>
      </c>
      <c r="I80" s="23"/>
    </row>
    <row r="81" spans="1:9" ht="12.9" customHeight="1">
      <c r="A81" s="17" t="s">
        <v>1089</v>
      </c>
      <c r="B81" s="18" t="s">
        <v>1090</v>
      </c>
      <c r="C81" s="14" t="s">
        <v>1091</v>
      </c>
      <c r="D81" s="14" t="s">
        <v>109</v>
      </c>
      <c r="E81" s="19">
        <v>4500</v>
      </c>
      <c r="F81" s="20">
        <v>3682.8225000000002</v>
      </c>
      <c r="G81" s="21">
        <v>3.8E-3</v>
      </c>
      <c r="H81" s="22">
        <v>7.0300000000000001E-2</v>
      </c>
      <c r="I81" s="23"/>
    </row>
    <row r="82" spans="1:9" ht="12.9" customHeight="1">
      <c r="A82" s="17" t="s">
        <v>1092</v>
      </c>
      <c r="B82" s="18" t="s">
        <v>1093</v>
      </c>
      <c r="C82" s="14" t="s">
        <v>1094</v>
      </c>
      <c r="D82" s="14" t="s">
        <v>372</v>
      </c>
      <c r="E82" s="19">
        <v>3500</v>
      </c>
      <c r="F82" s="20">
        <v>3568.0574999999999</v>
      </c>
      <c r="G82" s="21">
        <v>3.7000000000000002E-3</v>
      </c>
      <c r="H82" s="22">
        <v>6.7204E-2</v>
      </c>
      <c r="I82" s="23"/>
    </row>
    <row r="83" spans="1:9" ht="12.9" customHeight="1">
      <c r="A83" s="17" t="s">
        <v>1095</v>
      </c>
      <c r="B83" s="18" t="s">
        <v>1096</v>
      </c>
      <c r="C83" s="14" t="s">
        <v>1097</v>
      </c>
      <c r="D83" s="14" t="s">
        <v>109</v>
      </c>
      <c r="E83" s="19">
        <v>350</v>
      </c>
      <c r="F83" s="20">
        <v>3525.886</v>
      </c>
      <c r="G83" s="21">
        <v>3.7000000000000002E-3</v>
      </c>
      <c r="H83" s="22">
        <v>6.9750000000000006E-2</v>
      </c>
      <c r="I83" s="23"/>
    </row>
    <row r="84" spans="1:9" ht="12.9" customHeight="1">
      <c r="A84" s="17" t="s">
        <v>631</v>
      </c>
      <c r="B84" s="18" t="s">
        <v>632</v>
      </c>
      <c r="C84" s="14" t="s">
        <v>633</v>
      </c>
      <c r="D84" s="14" t="s">
        <v>109</v>
      </c>
      <c r="E84" s="19">
        <v>3500</v>
      </c>
      <c r="F84" s="20">
        <v>3515.7570000000001</v>
      </c>
      <c r="G84" s="21">
        <v>3.7000000000000002E-3</v>
      </c>
      <c r="H84" s="22">
        <v>7.4815000000000006E-2</v>
      </c>
      <c r="I84" s="23"/>
    </row>
    <row r="85" spans="1:9" ht="12.9" customHeight="1">
      <c r="A85" s="17" t="s">
        <v>872</v>
      </c>
      <c r="B85" s="18" t="s">
        <v>873</v>
      </c>
      <c r="C85" s="14" t="s">
        <v>874</v>
      </c>
      <c r="D85" s="14" t="s">
        <v>109</v>
      </c>
      <c r="E85" s="19">
        <v>3400</v>
      </c>
      <c r="F85" s="20">
        <v>3448.3038000000001</v>
      </c>
      <c r="G85" s="21">
        <v>3.5999999999999999E-3</v>
      </c>
      <c r="H85" s="22">
        <v>7.1849999999999997E-2</v>
      </c>
      <c r="I85" s="23"/>
    </row>
    <row r="86" spans="1:9" ht="12.9" customHeight="1">
      <c r="A86" s="17" t="s">
        <v>487</v>
      </c>
      <c r="B86" s="18" t="s">
        <v>488</v>
      </c>
      <c r="C86" s="14" t="s">
        <v>489</v>
      </c>
      <c r="D86" s="14" t="s">
        <v>109</v>
      </c>
      <c r="E86" s="19">
        <v>300</v>
      </c>
      <c r="F86" s="20">
        <v>3059.2739999999999</v>
      </c>
      <c r="G86" s="21">
        <v>3.2000000000000002E-3</v>
      </c>
      <c r="H86" s="22">
        <v>7.3907E-2</v>
      </c>
      <c r="I86" s="23"/>
    </row>
    <row r="87" spans="1:9" ht="12.9" customHeight="1">
      <c r="A87" s="17" t="s">
        <v>1098</v>
      </c>
      <c r="B87" s="18" t="s">
        <v>1099</v>
      </c>
      <c r="C87" s="14" t="s">
        <v>1100</v>
      </c>
      <c r="D87" s="14" t="s">
        <v>109</v>
      </c>
      <c r="E87" s="19">
        <v>3000</v>
      </c>
      <c r="F87" s="20">
        <v>3033.585</v>
      </c>
      <c r="G87" s="21">
        <v>3.2000000000000002E-3</v>
      </c>
      <c r="H87" s="22">
        <v>7.0400000000000004E-2</v>
      </c>
      <c r="I87" s="23"/>
    </row>
    <row r="88" spans="1:9" ht="12.9" customHeight="1">
      <c r="A88" s="17" t="s">
        <v>1101</v>
      </c>
      <c r="B88" s="18" t="s">
        <v>1102</v>
      </c>
      <c r="C88" s="14" t="s">
        <v>1103</v>
      </c>
      <c r="D88" s="14" t="s">
        <v>109</v>
      </c>
      <c r="E88" s="19">
        <v>3000</v>
      </c>
      <c r="F88" s="20">
        <v>3000.3960000000002</v>
      </c>
      <c r="G88" s="21">
        <v>3.0999999999999999E-3</v>
      </c>
      <c r="H88" s="22">
        <v>7.1498999999999993E-2</v>
      </c>
      <c r="I88" s="23"/>
    </row>
    <row r="89" spans="1:9" ht="12.9" customHeight="1">
      <c r="A89" s="17" t="s">
        <v>406</v>
      </c>
      <c r="B89" s="18" t="s">
        <v>407</v>
      </c>
      <c r="C89" s="14" t="s">
        <v>408</v>
      </c>
      <c r="D89" s="14" t="s">
        <v>84</v>
      </c>
      <c r="E89" s="19">
        <v>2500000</v>
      </c>
      <c r="F89" s="20">
        <v>2587.3325</v>
      </c>
      <c r="G89" s="21">
        <v>2.7000000000000001E-3</v>
      </c>
      <c r="H89" s="22">
        <v>6.7457000000000003E-2</v>
      </c>
      <c r="I89" s="23"/>
    </row>
    <row r="90" spans="1:9" ht="12.9" customHeight="1">
      <c r="A90" s="17" t="s">
        <v>903</v>
      </c>
      <c r="B90" s="18" t="s">
        <v>904</v>
      </c>
      <c r="C90" s="14" t="s">
        <v>905</v>
      </c>
      <c r="D90" s="14" t="s">
        <v>109</v>
      </c>
      <c r="E90" s="19">
        <v>2500</v>
      </c>
      <c r="F90" s="20">
        <v>2552.2199999999998</v>
      </c>
      <c r="G90" s="21">
        <v>2.7000000000000001E-3</v>
      </c>
      <c r="H90" s="22">
        <v>7.3649999999999993E-2</v>
      </c>
      <c r="I90" s="23"/>
    </row>
    <row r="91" spans="1:9" ht="12.9" customHeight="1">
      <c r="A91" s="17" t="s">
        <v>1104</v>
      </c>
      <c r="B91" s="18" t="s">
        <v>1105</v>
      </c>
      <c r="C91" s="14" t="s">
        <v>1106</v>
      </c>
      <c r="D91" s="14" t="s">
        <v>109</v>
      </c>
      <c r="E91" s="19">
        <v>2500</v>
      </c>
      <c r="F91" s="20">
        <v>2545.27</v>
      </c>
      <c r="G91" s="21">
        <v>2.7000000000000001E-3</v>
      </c>
      <c r="H91" s="22">
        <v>7.0999999999999994E-2</v>
      </c>
      <c r="I91" s="23"/>
    </row>
    <row r="92" spans="1:9" ht="12.9" customHeight="1">
      <c r="A92" s="17" t="s">
        <v>1107</v>
      </c>
      <c r="B92" s="18" t="s">
        <v>1108</v>
      </c>
      <c r="C92" s="14" t="s">
        <v>1109</v>
      </c>
      <c r="D92" s="14" t="s">
        <v>109</v>
      </c>
      <c r="E92" s="19">
        <v>2500</v>
      </c>
      <c r="F92" s="20">
        <v>2542.105</v>
      </c>
      <c r="G92" s="21">
        <v>2.7000000000000001E-3</v>
      </c>
      <c r="H92" s="22">
        <v>7.5299000000000005E-2</v>
      </c>
      <c r="I92" s="23"/>
    </row>
    <row r="93" spans="1:9" ht="12.9" customHeight="1">
      <c r="A93" s="17" t="s">
        <v>1110</v>
      </c>
      <c r="B93" s="18" t="s">
        <v>1111</v>
      </c>
      <c r="C93" s="14" t="s">
        <v>1112</v>
      </c>
      <c r="D93" s="14" t="s">
        <v>109</v>
      </c>
      <c r="E93" s="19">
        <v>2500</v>
      </c>
      <c r="F93" s="20">
        <v>2538.77</v>
      </c>
      <c r="G93" s="21">
        <v>2.7000000000000001E-3</v>
      </c>
      <c r="H93" s="22">
        <v>7.2400000000000006E-2</v>
      </c>
      <c r="I93" s="23"/>
    </row>
    <row r="94" spans="1:9" ht="12.9" customHeight="1">
      <c r="A94" s="17" t="s">
        <v>499</v>
      </c>
      <c r="B94" s="18" t="s">
        <v>500</v>
      </c>
      <c r="C94" s="14" t="s">
        <v>501</v>
      </c>
      <c r="D94" s="14" t="s">
        <v>109</v>
      </c>
      <c r="E94" s="19">
        <v>2500</v>
      </c>
      <c r="F94" s="20">
        <v>2538.0450000000001</v>
      </c>
      <c r="G94" s="21">
        <v>2.7000000000000001E-3</v>
      </c>
      <c r="H94" s="22">
        <v>7.3649999999999993E-2</v>
      </c>
      <c r="I94" s="23"/>
    </row>
    <row r="95" spans="1:9" ht="12.9" customHeight="1">
      <c r="A95" s="17" t="s">
        <v>502</v>
      </c>
      <c r="B95" s="18" t="s">
        <v>503</v>
      </c>
      <c r="C95" s="14" t="s">
        <v>504</v>
      </c>
      <c r="D95" s="14" t="s">
        <v>109</v>
      </c>
      <c r="E95" s="19">
        <v>2500</v>
      </c>
      <c r="F95" s="20">
        <v>2537.0500000000002</v>
      </c>
      <c r="G95" s="21">
        <v>2.7000000000000001E-3</v>
      </c>
      <c r="H95" s="22">
        <v>6.7375000000000004E-2</v>
      </c>
      <c r="I95" s="23"/>
    </row>
    <row r="96" spans="1:9" ht="12.9" customHeight="1">
      <c r="A96" s="17" t="s">
        <v>439</v>
      </c>
      <c r="B96" s="18" t="s">
        <v>440</v>
      </c>
      <c r="C96" s="14" t="s">
        <v>441</v>
      </c>
      <c r="D96" s="14" t="s">
        <v>109</v>
      </c>
      <c r="E96" s="19">
        <v>2500</v>
      </c>
      <c r="F96" s="20">
        <v>2536.3874999999998</v>
      </c>
      <c r="G96" s="21">
        <v>2.5999999999999999E-3</v>
      </c>
      <c r="H96" s="22">
        <v>6.7349999999999993E-2</v>
      </c>
      <c r="I96" s="23"/>
    </row>
    <row r="97" spans="1:9" ht="12.9" customHeight="1">
      <c r="A97" s="17" t="s">
        <v>664</v>
      </c>
      <c r="B97" s="18" t="s">
        <v>665</v>
      </c>
      <c r="C97" s="14" t="s">
        <v>666</v>
      </c>
      <c r="D97" s="14" t="s">
        <v>109</v>
      </c>
      <c r="E97" s="19">
        <v>2500</v>
      </c>
      <c r="F97" s="20">
        <v>2536</v>
      </c>
      <c r="G97" s="21">
        <v>2.5999999999999999E-3</v>
      </c>
      <c r="H97" s="22">
        <v>7.0449999999999999E-2</v>
      </c>
      <c r="I97" s="23"/>
    </row>
    <row r="98" spans="1:9" ht="12.9" customHeight="1">
      <c r="A98" s="17" t="s">
        <v>1113</v>
      </c>
      <c r="B98" s="18" t="s">
        <v>1114</v>
      </c>
      <c r="C98" s="14" t="s">
        <v>1115</v>
      </c>
      <c r="D98" s="14" t="s">
        <v>109</v>
      </c>
      <c r="E98" s="19">
        <v>2500</v>
      </c>
      <c r="F98" s="20">
        <v>2527.4499999999998</v>
      </c>
      <c r="G98" s="21">
        <v>2.5999999999999999E-3</v>
      </c>
      <c r="H98" s="22">
        <v>7.1150000000000005E-2</v>
      </c>
      <c r="I98" s="23"/>
    </row>
    <row r="99" spans="1:9" ht="12.9" customHeight="1">
      <c r="A99" s="17" t="s">
        <v>1116</v>
      </c>
      <c r="B99" s="18" t="s">
        <v>1117</v>
      </c>
      <c r="C99" s="14" t="s">
        <v>1118</v>
      </c>
      <c r="D99" s="14" t="s">
        <v>109</v>
      </c>
      <c r="E99" s="19">
        <v>2500</v>
      </c>
      <c r="F99" s="20">
        <v>2526.13</v>
      </c>
      <c r="G99" s="21">
        <v>2.5999999999999999E-3</v>
      </c>
      <c r="H99" s="22">
        <v>7.1249999999999994E-2</v>
      </c>
      <c r="I99" s="23"/>
    </row>
    <row r="100" spans="1:9" ht="12.9" customHeight="1">
      <c r="A100" s="17" t="s">
        <v>1119</v>
      </c>
      <c r="B100" s="18" t="s">
        <v>1120</v>
      </c>
      <c r="C100" s="14" t="s">
        <v>1121</v>
      </c>
      <c r="D100" s="14" t="s">
        <v>109</v>
      </c>
      <c r="E100" s="19">
        <v>2500</v>
      </c>
      <c r="F100" s="20">
        <v>2526.0349999999999</v>
      </c>
      <c r="G100" s="21">
        <v>2.5999999999999999E-3</v>
      </c>
      <c r="H100" s="22">
        <v>7.0449999999999999E-2</v>
      </c>
      <c r="I100" s="23"/>
    </row>
    <row r="101" spans="1:9" ht="12.9" customHeight="1">
      <c r="A101" s="17" t="s">
        <v>616</v>
      </c>
      <c r="B101" s="18" t="s">
        <v>617</v>
      </c>
      <c r="C101" s="14" t="s">
        <v>618</v>
      </c>
      <c r="D101" s="14" t="s">
        <v>109</v>
      </c>
      <c r="E101" s="19">
        <v>250</v>
      </c>
      <c r="F101" s="20">
        <v>2525.9875000000002</v>
      </c>
      <c r="G101" s="21">
        <v>2.5999999999999999E-3</v>
      </c>
      <c r="H101" s="22">
        <v>7.4707999999999997E-2</v>
      </c>
      <c r="I101" s="23"/>
    </row>
    <row r="102" spans="1:9" ht="12.9" customHeight="1">
      <c r="A102" s="17" t="s">
        <v>1122</v>
      </c>
      <c r="B102" s="18" t="s">
        <v>1123</v>
      </c>
      <c r="C102" s="14" t="s">
        <v>1124</v>
      </c>
      <c r="D102" s="14" t="s">
        <v>109</v>
      </c>
      <c r="E102" s="19">
        <v>250</v>
      </c>
      <c r="F102" s="20">
        <v>2524.4225000000001</v>
      </c>
      <c r="G102" s="21">
        <v>2.5999999999999999E-3</v>
      </c>
      <c r="H102" s="22">
        <v>6.8250000000000005E-2</v>
      </c>
      <c r="I102" s="23"/>
    </row>
    <row r="103" spans="1:9" ht="12.9" customHeight="1">
      <c r="A103" s="17" t="s">
        <v>1125</v>
      </c>
      <c r="B103" s="18" t="s">
        <v>1126</v>
      </c>
      <c r="C103" s="14" t="s">
        <v>1127</v>
      </c>
      <c r="D103" s="14" t="s">
        <v>109</v>
      </c>
      <c r="E103" s="19">
        <v>2500</v>
      </c>
      <c r="F103" s="20">
        <v>2521.9524999999999</v>
      </c>
      <c r="G103" s="21">
        <v>2.5999999999999999E-3</v>
      </c>
      <c r="H103" s="22">
        <v>7.2050000000000003E-2</v>
      </c>
      <c r="I103" s="23"/>
    </row>
    <row r="104" spans="1:9" ht="12.9" customHeight="1">
      <c r="A104" s="17" t="s">
        <v>565</v>
      </c>
      <c r="B104" s="18" t="s">
        <v>566</v>
      </c>
      <c r="C104" s="14" t="s">
        <v>567</v>
      </c>
      <c r="D104" s="14" t="s">
        <v>353</v>
      </c>
      <c r="E104" s="19">
        <v>2500</v>
      </c>
      <c r="F104" s="20">
        <v>2521.585</v>
      </c>
      <c r="G104" s="21">
        <v>2.5999999999999999E-3</v>
      </c>
      <c r="H104" s="22">
        <v>7.0999999999999994E-2</v>
      </c>
      <c r="I104" s="23"/>
    </row>
    <row r="105" spans="1:9" ht="12.9" customHeight="1">
      <c r="A105" s="17" t="s">
        <v>520</v>
      </c>
      <c r="B105" s="18" t="s">
        <v>521</v>
      </c>
      <c r="C105" s="14" t="s">
        <v>522</v>
      </c>
      <c r="D105" s="14" t="s">
        <v>109</v>
      </c>
      <c r="E105" s="19">
        <v>2500</v>
      </c>
      <c r="F105" s="20">
        <v>2518.5149999999999</v>
      </c>
      <c r="G105" s="21">
        <v>2.5999999999999999E-3</v>
      </c>
      <c r="H105" s="22">
        <v>6.9199999999999998E-2</v>
      </c>
      <c r="I105" s="23"/>
    </row>
    <row r="106" spans="1:9" ht="12.9" customHeight="1">
      <c r="A106" s="17" t="s">
        <v>357</v>
      </c>
      <c r="B106" s="18" t="s">
        <v>358</v>
      </c>
      <c r="C106" s="14" t="s">
        <v>359</v>
      </c>
      <c r="D106" s="14" t="s">
        <v>109</v>
      </c>
      <c r="E106" s="19">
        <v>2500</v>
      </c>
      <c r="F106" s="20">
        <v>2511.8074999999999</v>
      </c>
      <c r="G106" s="21">
        <v>2.5999999999999999E-3</v>
      </c>
      <c r="H106" s="22">
        <v>7.0499999999999993E-2</v>
      </c>
      <c r="I106" s="23"/>
    </row>
    <row r="107" spans="1:9" ht="12.9" customHeight="1">
      <c r="A107" s="17" t="s">
        <v>394</v>
      </c>
      <c r="B107" s="18" t="s">
        <v>395</v>
      </c>
      <c r="C107" s="14" t="s">
        <v>396</v>
      </c>
      <c r="D107" s="14" t="s">
        <v>109</v>
      </c>
      <c r="E107" s="19">
        <v>2500</v>
      </c>
      <c r="F107" s="20">
        <v>2504.09</v>
      </c>
      <c r="G107" s="21">
        <v>2.5999999999999999E-3</v>
      </c>
      <c r="H107" s="22">
        <v>7.0499999999999993E-2</v>
      </c>
      <c r="I107" s="23"/>
    </row>
    <row r="108" spans="1:9" ht="12.9" customHeight="1">
      <c r="A108" s="17" t="s">
        <v>649</v>
      </c>
      <c r="B108" s="18" t="s">
        <v>650</v>
      </c>
      <c r="C108" s="14" t="s">
        <v>651</v>
      </c>
      <c r="D108" s="14" t="s">
        <v>109</v>
      </c>
      <c r="E108" s="19">
        <v>2500</v>
      </c>
      <c r="F108" s="20">
        <v>2488.0574999999999</v>
      </c>
      <c r="G108" s="21">
        <v>2.5999999999999999E-3</v>
      </c>
      <c r="H108" s="22">
        <v>7.0450499999999999E-2</v>
      </c>
      <c r="I108" s="23"/>
    </row>
    <row r="109" spans="1:9" ht="12.9" customHeight="1">
      <c r="A109" s="17" t="s">
        <v>1128</v>
      </c>
      <c r="B109" s="18" t="s">
        <v>1129</v>
      </c>
      <c r="C109" s="14" t="s">
        <v>1130</v>
      </c>
      <c r="D109" s="14" t="s">
        <v>109</v>
      </c>
      <c r="E109" s="19">
        <v>250</v>
      </c>
      <c r="F109" s="20">
        <v>2474.9124999999999</v>
      </c>
      <c r="G109" s="21">
        <v>2.5999999999999999E-3</v>
      </c>
      <c r="H109" s="22">
        <v>7.1150000000000005E-2</v>
      </c>
      <c r="I109" s="23"/>
    </row>
    <row r="110" spans="1:9" ht="12.9" customHeight="1">
      <c r="A110" s="17" t="s">
        <v>1131</v>
      </c>
      <c r="B110" s="18" t="s">
        <v>1132</v>
      </c>
      <c r="C110" s="14" t="s">
        <v>1133</v>
      </c>
      <c r="D110" s="14" t="s">
        <v>109</v>
      </c>
      <c r="E110" s="19">
        <v>250</v>
      </c>
      <c r="F110" s="20">
        <v>2466.9625000000001</v>
      </c>
      <c r="G110" s="21">
        <v>2.5999999999999999E-3</v>
      </c>
      <c r="H110" s="22">
        <v>7.1932999999999997E-2</v>
      </c>
      <c r="I110" s="23"/>
    </row>
    <row r="111" spans="1:9" ht="12.9" customHeight="1">
      <c r="A111" s="17" t="s">
        <v>655</v>
      </c>
      <c r="B111" s="18" t="s">
        <v>656</v>
      </c>
      <c r="C111" s="14" t="s">
        <v>657</v>
      </c>
      <c r="D111" s="14" t="s">
        <v>109</v>
      </c>
      <c r="E111" s="19">
        <v>2500</v>
      </c>
      <c r="F111" s="20">
        <v>2458.8049999999998</v>
      </c>
      <c r="G111" s="21">
        <v>2.5999999999999999E-3</v>
      </c>
      <c r="H111" s="22">
        <v>7.0199999999999999E-2</v>
      </c>
      <c r="I111" s="23"/>
    </row>
    <row r="112" spans="1:9" ht="12.9" customHeight="1">
      <c r="A112" s="17" t="s">
        <v>350</v>
      </c>
      <c r="B112" s="18" t="s">
        <v>351</v>
      </c>
      <c r="C112" s="14" t="s">
        <v>352</v>
      </c>
      <c r="D112" s="14" t="s">
        <v>353</v>
      </c>
      <c r="E112" s="19">
        <v>2500</v>
      </c>
      <c r="F112" s="20">
        <v>2456.35</v>
      </c>
      <c r="G112" s="21">
        <v>2.5999999999999999E-3</v>
      </c>
      <c r="H112" s="22">
        <v>7.145E-2</v>
      </c>
      <c r="I112" s="23"/>
    </row>
    <row r="113" spans="1:9" ht="12.9" customHeight="1">
      <c r="A113" s="17" t="s">
        <v>1134</v>
      </c>
      <c r="B113" s="18" t="s">
        <v>1135</v>
      </c>
      <c r="C113" s="14" t="s">
        <v>1136</v>
      </c>
      <c r="D113" s="14" t="s">
        <v>109</v>
      </c>
      <c r="E113" s="19">
        <v>250</v>
      </c>
      <c r="F113" s="20">
        <v>2455.8125</v>
      </c>
      <c r="G113" s="21">
        <v>2.5999999999999999E-3</v>
      </c>
      <c r="H113" s="22">
        <v>7.4200000000000002E-2</v>
      </c>
      <c r="I113" s="23"/>
    </row>
    <row r="114" spans="1:9" ht="12.9" customHeight="1">
      <c r="A114" s="17" t="s">
        <v>1137</v>
      </c>
      <c r="B114" s="18" t="s">
        <v>1138</v>
      </c>
      <c r="C114" s="14" t="s">
        <v>1139</v>
      </c>
      <c r="D114" s="14" t="s">
        <v>372</v>
      </c>
      <c r="E114" s="19">
        <v>250</v>
      </c>
      <c r="F114" s="20">
        <v>2419.4699999999998</v>
      </c>
      <c r="G114" s="21">
        <v>2.5000000000000001E-3</v>
      </c>
      <c r="H114" s="22">
        <v>7.2499999999999995E-2</v>
      </c>
      <c r="I114" s="23"/>
    </row>
    <row r="115" spans="1:9" ht="12.9" customHeight="1">
      <c r="A115" s="17" t="s">
        <v>1140</v>
      </c>
      <c r="B115" s="18" t="s">
        <v>1141</v>
      </c>
      <c r="C115" s="14" t="s">
        <v>1142</v>
      </c>
      <c r="D115" s="14" t="s">
        <v>84</v>
      </c>
      <c r="E115" s="19">
        <v>2502400</v>
      </c>
      <c r="F115" s="20">
        <v>2263.5835000000002</v>
      </c>
      <c r="G115" s="21">
        <v>2.3999999999999998E-3</v>
      </c>
      <c r="H115" s="22">
        <v>5.9380000000000002E-2</v>
      </c>
      <c r="I115" s="23"/>
    </row>
    <row r="116" spans="1:9" ht="12.9" customHeight="1">
      <c r="A116" s="17" t="s">
        <v>451</v>
      </c>
      <c r="B116" s="18" t="s">
        <v>452</v>
      </c>
      <c r="C116" s="14" t="s">
        <v>453</v>
      </c>
      <c r="D116" s="14" t="s">
        <v>109</v>
      </c>
      <c r="E116" s="19">
        <v>2000</v>
      </c>
      <c r="F116" s="20">
        <v>2024.568</v>
      </c>
      <c r="G116" s="21">
        <v>2.0999999999999999E-3</v>
      </c>
      <c r="H116" s="22">
        <v>6.7949999999999997E-2</v>
      </c>
      <c r="I116" s="23"/>
    </row>
    <row r="117" spans="1:9" ht="12.9" customHeight="1">
      <c r="A117" s="17" t="s">
        <v>1143</v>
      </c>
      <c r="B117" s="18" t="s">
        <v>1144</v>
      </c>
      <c r="C117" s="14" t="s">
        <v>1145</v>
      </c>
      <c r="D117" s="14" t="s">
        <v>109</v>
      </c>
      <c r="E117" s="19">
        <v>2000</v>
      </c>
      <c r="F117" s="20">
        <v>2001.66</v>
      </c>
      <c r="G117" s="21">
        <v>2.0999999999999999E-3</v>
      </c>
      <c r="H117" s="22">
        <v>7.3382000000000003E-2</v>
      </c>
      <c r="I117" s="23"/>
    </row>
    <row r="118" spans="1:9" ht="12.9" customHeight="1">
      <c r="A118" s="17" t="s">
        <v>532</v>
      </c>
      <c r="B118" s="18" t="s">
        <v>533</v>
      </c>
      <c r="C118" s="14" t="s">
        <v>534</v>
      </c>
      <c r="D118" s="14" t="s">
        <v>109</v>
      </c>
      <c r="E118" s="19">
        <v>2000</v>
      </c>
      <c r="F118" s="20">
        <v>1998.0840000000001</v>
      </c>
      <c r="G118" s="21">
        <v>2.0999999999999999E-3</v>
      </c>
      <c r="H118" s="22">
        <v>7.1249999999999994E-2</v>
      </c>
      <c r="I118" s="23"/>
    </row>
    <row r="119" spans="1:9" ht="12.9" customHeight="1">
      <c r="A119" s="17" t="s">
        <v>1146</v>
      </c>
      <c r="B119" s="18" t="s">
        <v>1147</v>
      </c>
      <c r="C119" s="14" t="s">
        <v>1148</v>
      </c>
      <c r="D119" s="14" t="s">
        <v>109</v>
      </c>
      <c r="E119" s="19">
        <v>2500</v>
      </c>
      <c r="F119" s="20">
        <v>1843.2874999999999</v>
      </c>
      <c r="G119" s="21">
        <v>1.9E-3</v>
      </c>
      <c r="H119" s="22">
        <v>7.0300000000000001E-2</v>
      </c>
      <c r="I119" s="23"/>
    </row>
    <row r="120" spans="1:9" ht="12.9" customHeight="1">
      <c r="A120" s="17" t="s">
        <v>442</v>
      </c>
      <c r="B120" s="18" t="s">
        <v>443</v>
      </c>
      <c r="C120" s="14" t="s">
        <v>444</v>
      </c>
      <c r="D120" s="14" t="s">
        <v>372</v>
      </c>
      <c r="E120" s="19">
        <v>1500</v>
      </c>
      <c r="F120" s="20">
        <v>1533.5025000000001</v>
      </c>
      <c r="G120" s="21">
        <v>1.6000000000000001E-3</v>
      </c>
      <c r="H120" s="22">
        <v>6.9750000000000006E-2</v>
      </c>
      <c r="I120" s="23"/>
    </row>
    <row r="121" spans="1:9" ht="12.9" customHeight="1">
      <c r="A121" s="17" t="s">
        <v>514</v>
      </c>
      <c r="B121" s="18" t="s">
        <v>515</v>
      </c>
      <c r="C121" s="14" t="s">
        <v>516</v>
      </c>
      <c r="D121" s="14" t="s">
        <v>109</v>
      </c>
      <c r="E121" s="19">
        <v>1500</v>
      </c>
      <c r="F121" s="20">
        <v>1514.181</v>
      </c>
      <c r="G121" s="21">
        <v>1.6000000000000001E-3</v>
      </c>
      <c r="H121" s="22">
        <v>7.2499999999999995E-2</v>
      </c>
      <c r="I121" s="23"/>
    </row>
    <row r="122" spans="1:9" ht="12.9" customHeight="1">
      <c r="A122" s="17" t="s">
        <v>430</v>
      </c>
      <c r="B122" s="18" t="s">
        <v>431</v>
      </c>
      <c r="C122" s="14" t="s">
        <v>432</v>
      </c>
      <c r="D122" s="14" t="s">
        <v>109</v>
      </c>
      <c r="E122" s="19">
        <v>1500</v>
      </c>
      <c r="F122" s="20">
        <v>1506.0989999999999</v>
      </c>
      <c r="G122" s="21">
        <v>1.6000000000000001E-3</v>
      </c>
      <c r="H122" s="22">
        <v>7.3907E-2</v>
      </c>
      <c r="I122" s="23"/>
    </row>
    <row r="123" spans="1:9" ht="12.9" customHeight="1">
      <c r="A123" s="17" t="s">
        <v>1149</v>
      </c>
      <c r="B123" s="18" t="s">
        <v>1150</v>
      </c>
      <c r="C123" s="14" t="s">
        <v>1151</v>
      </c>
      <c r="D123" s="14" t="s">
        <v>84</v>
      </c>
      <c r="E123" s="19">
        <v>1000000</v>
      </c>
      <c r="F123" s="20">
        <v>992.31100000000004</v>
      </c>
      <c r="G123" s="21">
        <v>1E-3</v>
      </c>
      <c r="H123" s="22">
        <v>7.4357999999999994E-2</v>
      </c>
      <c r="I123" s="23"/>
    </row>
    <row r="124" spans="1:9" ht="12.9" customHeight="1">
      <c r="A124" s="17" t="s">
        <v>1152</v>
      </c>
      <c r="B124" s="18" t="s">
        <v>1153</v>
      </c>
      <c r="C124" s="14" t="s">
        <v>1154</v>
      </c>
      <c r="D124" s="14" t="s">
        <v>84</v>
      </c>
      <c r="E124" s="19">
        <v>1063500</v>
      </c>
      <c r="F124" s="20">
        <v>968.04240000000004</v>
      </c>
      <c r="G124" s="21">
        <v>1E-3</v>
      </c>
      <c r="H124" s="22">
        <v>5.9167999999999998E-2</v>
      </c>
      <c r="I124" s="23"/>
    </row>
    <row r="125" spans="1:9" ht="12.9" customHeight="1">
      <c r="A125" s="17" t="s">
        <v>1155</v>
      </c>
      <c r="B125" s="18" t="s">
        <v>1156</v>
      </c>
      <c r="C125" s="14" t="s">
        <v>1157</v>
      </c>
      <c r="D125" s="14" t="s">
        <v>84</v>
      </c>
      <c r="E125" s="19">
        <v>1000000</v>
      </c>
      <c r="F125" s="20">
        <v>867.13900000000001</v>
      </c>
      <c r="G125" s="21">
        <v>8.9999999999999998E-4</v>
      </c>
      <c r="H125" s="22">
        <v>6.1503000000000002E-2</v>
      </c>
      <c r="I125" s="23"/>
    </row>
    <row r="126" spans="1:9" ht="12.9" customHeight="1">
      <c r="A126" s="17" t="s">
        <v>933</v>
      </c>
      <c r="B126" s="18" t="s">
        <v>934</v>
      </c>
      <c r="C126" s="14" t="s">
        <v>935</v>
      </c>
      <c r="D126" s="14" t="s">
        <v>84</v>
      </c>
      <c r="E126" s="19">
        <v>500000</v>
      </c>
      <c r="F126" s="20">
        <v>520.26350000000002</v>
      </c>
      <c r="G126" s="21">
        <v>5.0000000000000001E-4</v>
      </c>
      <c r="H126" s="22">
        <v>6.3965999999999995E-2</v>
      </c>
      <c r="I126" s="23"/>
    </row>
    <row r="127" spans="1:9" ht="12.9" customHeight="1">
      <c r="A127" s="17" t="s">
        <v>1158</v>
      </c>
      <c r="B127" s="18" t="s">
        <v>1159</v>
      </c>
      <c r="C127" s="14" t="s">
        <v>1160</v>
      </c>
      <c r="D127" s="14" t="s">
        <v>84</v>
      </c>
      <c r="E127" s="19">
        <v>500000</v>
      </c>
      <c r="F127" s="20">
        <v>511.0265</v>
      </c>
      <c r="G127" s="21">
        <v>5.0000000000000001E-4</v>
      </c>
      <c r="H127" s="22">
        <v>7.0184999999999997E-2</v>
      </c>
      <c r="I127" s="23"/>
    </row>
    <row r="128" spans="1:9" ht="12.9" customHeight="1">
      <c r="A128" s="17" t="s">
        <v>1161</v>
      </c>
      <c r="B128" s="18" t="s">
        <v>1162</v>
      </c>
      <c r="C128" s="14" t="s">
        <v>1163</v>
      </c>
      <c r="D128" s="14" t="s">
        <v>109</v>
      </c>
      <c r="E128" s="19">
        <v>500</v>
      </c>
      <c r="F128" s="20">
        <v>509.90249999999997</v>
      </c>
      <c r="G128" s="21">
        <v>5.0000000000000001E-4</v>
      </c>
      <c r="H128" s="22">
        <v>7.5299000000000005E-2</v>
      </c>
      <c r="I128" s="23"/>
    </row>
    <row r="129" spans="1:9" ht="12.9" customHeight="1">
      <c r="A129" s="17" t="s">
        <v>1164</v>
      </c>
      <c r="B129" s="18" t="s">
        <v>1165</v>
      </c>
      <c r="C129" s="14" t="s">
        <v>1166</v>
      </c>
      <c r="D129" s="14" t="s">
        <v>109</v>
      </c>
      <c r="E129" s="19">
        <v>50</v>
      </c>
      <c r="F129" s="20">
        <v>507.23849999999999</v>
      </c>
      <c r="G129" s="21">
        <v>5.0000000000000001E-4</v>
      </c>
      <c r="H129" s="22">
        <v>6.8297999999999998E-2</v>
      </c>
      <c r="I129" s="23"/>
    </row>
    <row r="130" spans="1:9" ht="12.9" customHeight="1">
      <c r="A130" s="17" t="s">
        <v>676</v>
      </c>
      <c r="B130" s="18" t="s">
        <v>677</v>
      </c>
      <c r="C130" s="14" t="s">
        <v>678</v>
      </c>
      <c r="D130" s="14" t="s">
        <v>372</v>
      </c>
      <c r="E130" s="19">
        <v>500</v>
      </c>
      <c r="F130" s="20">
        <v>506.642</v>
      </c>
      <c r="G130" s="21">
        <v>5.0000000000000001E-4</v>
      </c>
      <c r="H130" s="22">
        <v>7.2692999999999994E-2</v>
      </c>
      <c r="I130" s="23"/>
    </row>
    <row r="131" spans="1:9" ht="12.9" customHeight="1">
      <c r="A131" s="17" t="s">
        <v>1167</v>
      </c>
      <c r="B131" s="18" t="s">
        <v>1168</v>
      </c>
      <c r="C131" s="14" t="s">
        <v>1169</v>
      </c>
      <c r="D131" s="14" t="s">
        <v>109</v>
      </c>
      <c r="E131" s="19">
        <v>500</v>
      </c>
      <c r="F131" s="20">
        <v>506.5675</v>
      </c>
      <c r="G131" s="21">
        <v>5.0000000000000001E-4</v>
      </c>
      <c r="H131" s="22">
        <v>6.8349999999999994E-2</v>
      </c>
      <c r="I131" s="23"/>
    </row>
    <row r="132" spans="1:9" ht="12.9" customHeight="1">
      <c r="A132" s="17" t="s">
        <v>1170</v>
      </c>
      <c r="B132" s="18" t="s">
        <v>1171</v>
      </c>
      <c r="C132" s="14" t="s">
        <v>1172</v>
      </c>
      <c r="D132" s="14" t="s">
        <v>84</v>
      </c>
      <c r="E132" s="19">
        <v>485200</v>
      </c>
      <c r="F132" s="20">
        <v>501.28</v>
      </c>
      <c r="G132" s="21">
        <v>5.0000000000000001E-4</v>
      </c>
      <c r="H132" s="22">
        <v>6.3805000000000001E-2</v>
      </c>
      <c r="I132" s="23"/>
    </row>
    <row r="133" spans="1:9" ht="12.9" customHeight="1">
      <c r="A133" s="17" t="s">
        <v>1173</v>
      </c>
      <c r="B133" s="18" t="s">
        <v>1174</v>
      </c>
      <c r="C133" s="14" t="s">
        <v>1175</v>
      </c>
      <c r="D133" s="14" t="s">
        <v>84</v>
      </c>
      <c r="E133" s="19">
        <v>500000</v>
      </c>
      <c r="F133" s="20">
        <v>490.74950000000001</v>
      </c>
      <c r="G133" s="21">
        <v>5.0000000000000001E-4</v>
      </c>
      <c r="H133" s="22">
        <v>6.7049999999999998E-2</v>
      </c>
      <c r="I133" s="23"/>
    </row>
    <row r="134" spans="1:9" ht="12.9" customHeight="1">
      <c r="A134" s="17" t="s">
        <v>1176</v>
      </c>
      <c r="B134" s="18" t="s">
        <v>1177</v>
      </c>
      <c r="C134" s="14" t="s">
        <v>1178</v>
      </c>
      <c r="D134" s="14" t="s">
        <v>84</v>
      </c>
      <c r="E134" s="19">
        <v>500000</v>
      </c>
      <c r="F134" s="20">
        <v>489.75349999999997</v>
      </c>
      <c r="G134" s="21">
        <v>5.0000000000000001E-4</v>
      </c>
      <c r="H134" s="22">
        <v>7.5497999999999996E-2</v>
      </c>
      <c r="I134" s="23"/>
    </row>
    <row r="135" spans="1:9" ht="12.9" customHeight="1">
      <c r="A135" s="17" t="s">
        <v>1179</v>
      </c>
      <c r="B135" s="18" t="s">
        <v>1180</v>
      </c>
      <c r="C135" s="14" t="s">
        <v>1181</v>
      </c>
      <c r="D135" s="14" t="s">
        <v>84</v>
      </c>
      <c r="E135" s="19">
        <v>500000</v>
      </c>
      <c r="F135" s="20">
        <v>469.24950000000001</v>
      </c>
      <c r="G135" s="21">
        <v>5.0000000000000001E-4</v>
      </c>
      <c r="H135" s="22">
        <v>7.5169E-2</v>
      </c>
      <c r="I135" s="23"/>
    </row>
    <row r="136" spans="1:9" ht="12.9" customHeight="1">
      <c r="A136" s="17" t="s">
        <v>1182</v>
      </c>
      <c r="B136" s="18" t="s">
        <v>1183</v>
      </c>
      <c r="C136" s="14" t="s">
        <v>1184</v>
      </c>
      <c r="D136" s="14" t="s">
        <v>84</v>
      </c>
      <c r="E136" s="19">
        <v>364500</v>
      </c>
      <c r="F136" s="20">
        <v>378.60649999999998</v>
      </c>
      <c r="G136" s="21">
        <v>4.0000000000000002E-4</v>
      </c>
      <c r="H136" s="22">
        <v>6.4890000000000003E-2</v>
      </c>
      <c r="I136" s="23"/>
    </row>
    <row r="137" spans="1:9" ht="12.9" customHeight="1">
      <c r="A137" s="17" t="s">
        <v>1185</v>
      </c>
      <c r="B137" s="18" t="s">
        <v>1186</v>
      </c>
      <c r="C137" s="14" t="s">
        <v>1187</v>
      </c>
      <c r="D137" s="14" t="s">
        <v>84</v>
      </c>
      <c r="E137" s="19">
        <v>332000</v>
      </c>
      <c r="F137" s="20">
        <v>334.22469999999998</v>
      </c>
      <c r="G137" s="21">
        <v>2.9999999999999997E-4</v>
      </c>
      <c r="H137" s="22">
        <v>5.7648999999999999E-2</v>
      </c>
      <c r="I137" s="23"/>
    </row>
    <row r="138" spans="1:9" ht="12.9" customHeight="1">
      <c r="A138" s="17" t="s">
        <v>715</v>
      </c>
      <c r="B138" s="18" t="s">
        <v>716</v>
      </c>
      <c r="C138" s="14" t="s">
        <v>717</v>
      </c>
      <c r="D138" s="14" t="s">
        <v>84</v>
      </c>
      <c r="E138" s="19">
        <v>237300</v>
      </c>
      <c r="F138" s="20">
        <v>234.04329999999999</v>
      </c>
      <c r="G138" s="21">
        <v>2.0000000000000001E-4</v>
      </c>
      <c r="H138" s="22">
        <v>6.6457000000000002E-2</v>
      </c>
      <c r="I138" s="23"/>
    </row>
    <row r="139" spans="1:9" ht="12.9" customHeight="1">
      <c r="A139" s="17" t="s">
        <v>1188</v>
      </c>
      <c r="B139" s="18" t="s">
        <v>1189</v>
      </c>
      <c r="C139" s="14" t="s">
        <v>1190</v>
      </c>
      <c r="D139" s="14" t="s">
        <v>84</v>
      </c>
      <c r="E139" s="19">
        <v>151100</v>
      </c>
      <c r="F139" s="20">
        <v>156.31110000000001</v>
      </c>
      <c r="G139" s="21">
        <v>2.0000000000000001E-4</v>
      </c>
      <c r="H139" s="22">
        <v>6.7199999999999996E-2</v>
      </c>
      <c r="I139" s="23"/>
    </row>
    <row r="140" spans="1:9" ht="12.9" customHeight="1">
      <c r="A140" s="17" t="s">
        <v>1191</v>
      </c>
      <c r="B140" s="18" t="s">
        <v>1192</v>
      </c>
      <c r="C140" s="14" t="s">
        <v>1193</v>
      </c>
      <c r="D140" s="14" t="s">
        <v>84</v>
      </c>
      <c r="E140" s="19">
        <v>141200</v>
      </c>
      <c r="F140" s="20">
        <v>146.98920000000001</v>
      </c>
      <c r="G140" s="21">
        <v>2.0000000000000001E-4</v>
      </c>
      <c r="H140" s="22">
        <v>5.8698E-2</v>
      </c>
      <c r="I140" s="23"/>
    </row>
    <row r="141" spans="1:9" ht="12.9" customHeight="1">
      <c r="A141" s="17" t="s">
        <v>1194</v>
      </c>
      <c r="B141" s="18" t="s">
        <v>1195</v>
      </c>
      <c r="C141" s="14" t="s">
        <v>1196</v>
      </c>
      <c r="D141" s="14" t="s">
        <v>84</v>
      </c>
      <c r="E141" s="19">
        <v>141500</v>
      </c>
      <c r="F141" s="20">
        <v>141.85560000000001</v>
      </c>
      <c r="G141" s="21">
        <v>1E-4</v>
      </c>
      <c r="H141" s="22">
        <v>7.3783000000000001E-2</v>
      </c>
      <c r="I141" s="23"/>
    </row>
    <row r="142" spans="1:9" ht="12.9" customHeight="1">
      <c r="A142" s="17" t="s">
        <v>1197</v>
      </c>
      <c r="B142" s="18" t="s">
        <v>1198</v>
      </c>
      <c r="C142" s="14" t="s">
        <v>1199</v>
      </c>
      <c r="D142" s="14" t="s">
        <v>84</v>
      </c>
      <c r="E142" s="19">
        <v>62500</v>
      </c>
      <c r="F142" s="20">
        <v>62.6843</v>
      </c>
      <c r="G142" s="21">
        <v>1E-4</v>
      </c>
      <c r="H142" s="22">
        <v>7.5940999999999995E-2</v>
      </c>
      <c r="I142" s="23"/>
    </row>
    <row r="143" spans="1:9" ht="12.9" customHeight="1">
      <c r="A143" s="17" t="s">
        <v>739</v>
      </c>
      <c r="B143" s="18" t="s">
        <v>740</v>
      </c>
      <c r="C143" s="14" t="s">
        <v>741</v>
      </c>
      <c r="D143" s="14" t="s">
        <v>84</v>
      </c>
      <c r="E143" s="19">
        <v>46900</v>
      </c>
      <c r="F143" s="20">
        <v>45.798900000000003</v>
      </c>
      <c r="G143" s="30" t="s">
        <v>95</v>
      </c>
      <c r="H143" s="22">
        <v>7.5247999999999995E-2</v>
      </c>
      <c r="I143" s="23"/>
    </row>
    <row r="144" spans="1:9" ht="12.9" customHeight="1">
      <c r="A144" s="17" t="s">
        <v>889</v>
      </c>
      <c r="B144" s="18" t="s">
        <v>890</v>
      </c>
      <c r="C144" s="14" t="s">
        <v>891</v>
      </c>
      <c r="D144" s="14" t="s">
        <v>84</v>
      </c>
      <c r="E144" s="19">
        <v>16700</v>
      </c>
      <c r="F144" s="20">
        <v>17.1676</v>
      </c>
      <c r="G144" s="30" t="s">
        <v>95</v>
      </c>
      <c r="H144" s="22">
        <v>6.7644999999999997E-2</v>
      </c>
      <c r="I144" s="23"/>
    </row>
    <row r="145" spans="1:9" ht="12.9" customHeight="1">
      <c r="A145" s="5"/>
      <c r="B145" s="13" t="s">
        <v>88</v>
      </c>
      <c r="C145" s="14"/>
      <c r="D145" s="14"/>
      <c r="E145" s="14"/>
      <c r="F145" s="24">
        <v>846754.41139999998</v>
      </c>
      <c r="G145" s="25">
        <v>0.88460000000000005</v>
      </c>
      <c r="H145" s="26"/>
      <c r="I145" s="27"/>
    </row>
    <row r="146" spans="1:9" ht="12.9" customHeight="1">
      <c r="A146" s="5"/>
      <c r="B146" s="28" t="s">
        <v>89</v>
      </c>
      <c r="C146" s="2"/>
      <c r="D146" s="2"/>
      <c r="E146" s="2"/>
      <c r="F146" s="26" t="s">
        <v>90</v>
      </c>
      <c r="G146" s="26" t="s">
        <v>90</v>
      </c>
      <c r="H146" s="26"/>
      <c r="I146" s="27"/>
    </row>
    <row r="147" spans="1:9" ht="12.9" customHeight="1">
      <c r="A147" s="5"/>
      <c r="B147" s="28" t="s">
        <v>88</v>
      </c>
      <c r="C147" s="2"/>
      <c r="D147" s="2"/>
      <c r="E147" s="2"/>
      <c r="F147" s="26" t="s">
        <v>90</v>
      </c>
      <c r="G147" s="26" t="s">
        <v>90</v>
      </c>
      <c r="H147" s="26"/>
      <c r="I147" s="27"/>
    </row>
    <row r="148" spans="1:9" ht="12.9" customHeight="1">
      <c r="A148" s="5"/>
      <c r="B148" s="13" t="s">
        <v>751</v>
      </c>
      <c r="C148" s="14"/>
      <c r="D148" s="14"/>
      <c r="E148" s="14"/>
      <c r="F148" s="5"/>
      <c r="G148" s="15"/>
      <c r="H148" s="15"/>
      <c r="I148" s="16"/>
    </row>
    <row r="149" spans="1:9" ht="12.9" customHeight="1">
      <c r="A149" s="17" t="s">
        <v>756</v>
      </c>
      <c r="B149" s="18" t="s">
        <v>757</v>
      </c>
      <c r="C149" s="14" t="s">
        <v>758</v>
      </c>
      <c r="D149" s="14" t="s">
        <v>755</v>
      </c>
      <c r="E149" s="19">
        <v>194</v>
      </c>
      <c r="F149" s="20">
        <v>19605.6466</v>
      </c>
      <c r="G149" s="21">
        <v>2.0500000000000001E-2</v>
      </c>
      <c r="H149" s="22">
        <v>7.4996999999999994E-2</v>
      </c>
      <c r="I149" s="23"/>
    </row>
    <row r="150" spans="1:9" ht="12.9" customHeight="1">
      <c r="A150" s="17" t="s">
        <v>752</v>
      </c>
      <c r="B150" s="18" t="s">
        <v>753</v>
      </c>
      <c r="C150" s="14" t="s">
        <v>754</v>
      </c>
      <c r="D150" s="14" t="s">
        <v>755</v>
      </c>
      <c r="E150" s="19">
        <v>135</v>
      </c>
      <c r="F150" s="20">
        <v>13646.577499999999</v>
      </c>
      <c r="G150" s="21">
        <v>1.43E-2</v>
      </c>
      <c r="H150" s="22">
        <v>7.3596999999999996E-2</v>
      </c>
      <c r="I150" s="23"/>
    </row>
    <row r="151" spans="1:9" ht="12.9" customHeight="1">
      <c r="A151" s="17" t="s">
        <v>1200</v>
      </c>
      <c r="B151" s="18" t="s">
        <v>1201</v>
      </c>
      <c r="C151" s="14" t="s">
        <v>1202</v>
      </c>
      <c r="D151" s="14" t="s">
        <v>1203</v>
      </c>
      <c r="E151" s="19">
        <v>100</v>
      </c>
      <c r="F151" s="20">
        <v>9278.9961000000003</v>
      </c>
      <c r="G151" s="21">
        <v>9.7000000000000003E-3</v>
      </c>
      <c r="H151" s="22">
        <v>7.9949999999999993E-2</v>
      </c>
      <c r="I151" s="23"/>
    </row>
    <row r="152" spans="1:9" ht="12.9" customHeight="1">
      <c r="A152" s="17" t="s">
        <v>759</v>
      </c>
      <c r="B152" s="18" t="s">
        <v>760</v>
      </c>
      <c r="C152" s="14" t="s">
        <v>761</v>
      </c>
      <c r="D152" s="14" t="s">
        <v>755</v>
      </c>
      <c r="E152" s="19">
        <v>55</v>
      </c>
      <c r="F152" s="20">
        <v>5541.8176000000003</v>
      </c>
      <c r="G152" s="21">
        <v>5.7999999999999996E-3</v>
      </c>
      <c r="H152" s="22">
        <v>7.3246000000000006E-2</v>
      </c>
      <c r="I152" s="23"/>
    </row>
    <row r="153" spans="1:9" ht="12.9" customHeight="1">
      <c r="A153" s="17" t="s">
        <v>1204</v>
      </c>
      <c r="B153" s="18" t="s">
        <v>1205</v>
      </c>
      <c r="C153" s="14" t="s">
        <v>1206</v>
      </c>
      <c r="D153" s="14" t="s">
        <v>755</v>
      </c>
      <c r="E153" s="19">
        <v>51</v>
      </c>
      <c r="F153" s="20">
        <v>4902.9061000000002</v>
      </c>
      <c r="G153" s="21">
        <v>5.1000000000000004E-3</v>
      </c>
      <c r="H153" s="22">
        <v>7.9949000000000006E-2</v>
      </c>
      <c r="I153" s="23"/>
    </row>
    <row r="154" spans="1:9" ht="12.9" customHeight="1">
      <c r="A154" s="17" t="s">
        <v>1207</v>
      </c>
      <c r="B154" s="18" t="s">
        <v>1208</v>
      </c>
      <c r="C154" s="14" t="s">
        <v>1209</v>
      </c>
      <c r="D154" s="14" t="s">
        <v>1203</v>
      </c>
      <c r="E154" s="19">
        <v>25</v>
      </c>
      <c r="F154" s="20">
        <v>2088.9027999999998</v>
      </c>
      <c r="G154" s="21">
        <v>2.2000000000000001E-3</v>
      </c>
      <c r="H154" s="22">
        <v>7.6749999999999999E-2</v>
      </c>
      <c r="I154" s="23"/>
    </row>
    <row r="155" spans="1:9" ht="12.9" customHeight="1">
      <c r="A155" s="17" t="s">
        <v>1210</v>
      </c>
      <c r="B155" s="18" t="s">
        <v>1211</v>
      </c>
      <c r="C155" s="14" t="s">
        <v>1212</v>
      </c>
      <c r="D155" s="14" t="s">
        <v>755</v>
      </c>
      <c r="E155" s="19">
        <v>20</v>
      </c>
      <c r="F155" s="20">
        <v>1530.7311999999999</v>
      </c>
      <c r="G155" s="21">
        <v>1.6000000000000001E-3</v>
      </c>
      <c r="H155" s="22">
        <v>7.7950000000000005E-2</v>
      </c>
      <c r="I155" s="23"/>
    </row>
    <row r="156" spans="1:9" ht="12.9" customHeight="1">
      <c r="A156" s="5"/>
      <c r="B156" s="13" t="s">
        <v>88</v>
      </c>
      <c r="C156" s="14"/>
      <c r="D156" s="14"/>
      <c r="E156" s="14"/>
      <c r="F156" s="24">
        <v>56595.578000000001</v>
      </c>
      <c r="G156" s="25">
        <v>5.91E-2</v>
      </c>
      <c r="H156" s="26"/>
      <c r="I156" s="27"/>
    </row>
    <row r="157" spans="1:9" ht="12.9" customHeight="1">
      <c r="A157" s="5"/>
      <c r="B157" s="28" t="s">
        <v>91</v>
      </c>
      <c r="C157" s="29"/>
      <c r="D157" s="2"/>
      <c r="E157" s="29"/>
      <c r="F157" s="24">
        <v>903349.98939999996</v>
      </c>
      <c r="G157" s="25">
        <v>0.94369999999999998</v>
      </c>
      <c r="H157" s="26"/>
      <c r="I157" s="27"/>
    </row>
    <row r="158" spans="1:9" ht="12.9" customHeight="1">
      <c r="A158" s="5"/>
      <c r="B158" s="13" t="s">
        <v>285</v>
      </c>
      <c r="C158" s="14"/>
      <c r="D158" s="14"/>
      <c r="E158" s="14"/>
      <c r="F158" s="14"/>
      <c r="G158" s="14"/>
      <c r="H158" s="15"/>
      <c r="I158" s="16"/>
    </row>
    <row r="159" spans="1:9" ht="12.9" customHeight="1">
      <c r="A159" s="5"/>
      <c r="B159" s="13" t="s">
        <v>789</v>
      </c>
      <c r="C159" s="14"/>
      <c r="D159" s="14"/>
      <c r="E159" s="14"/>
      <c r="F159" s="5"/>
      <c r="G159" s="15"/>
      <c r="H159" s="15"/>
      <c r="I159" s="16"/>
    </row>
    <row r="160" spans="1:9" ht="12.9" customHeight="1">
      <c r="A160" s="17" t="s">
        <v>790</v>
      </c>
      <c r="B160" s="18" t="s">
        <v>791</v>
      </c>
      <c r="C160" s="14" t="s">
        <v>792</v>
      </c>
      <c r="D160" s="14"/>
      <c r="E160" s="19">
        <v>22092.236000000001</v>
      </c>
      <c r="F160" s="20">
        <v>2544.8063000000002</v>
      </c>
      <c r="G160" s="21">
        <v>2.7000000000000001E-3</v>
      </c>
      <c r="H160" s="22"/>
      <c r="I160" s="23"/>
    </row>
    <row r="161" spans="1:9" ht="12.9" customHeight="1">
      <c r="A161" s="5"/>
      <c r="B161" s="13" t="s">
        <v>88</v>
      </c>
      <c r="C161" s="14"/>
      <c r="D161" s="14"/>
      <c r="E161" s="14"/>
      <c r="F161" s="24">
        <v>2544.8063000000002</v>
      </c>
      <c r="G161" s="25">
        <v>2.7000000000000001E-3</v>
      </c>
      <c r="H161" s="26"/>
      <c r="I161" s="27"/>
    </row>
    <row r="162" spans="1:9" ht="12.9" customHeight="1">
      <c r="A162" s="5"/>
      <c r="B162" s="28" t="s">
        <v>91</v>
      </c>
      <c r="C162" s="29"/>
      <c r="D162" s="2"/>
      <c r="E162" s="29"/>
      <c r="F162" s="24">
        <v>2544.8063000000002</v>
      </c>
      <c r="G162" s="25">
        <v>2.7000000000000001E-3</v>
      </c>
      <c r="H162" s="26"/>
      <c r="I162" s="27"/>
    </row>
    <row r="163" spans="1:9" ht="12.9" customHeight="1">
      <c r="A163" s="5"/>
      <c r="B163" s="13" t="s">
        <v>92</v>
      </c>
      <c r="C163" s="14"/>
      <c r="D163" s="14"/>
      <c r="E163" s="14"/>
      <c r="F163" s="14"/>
      <c r="G163" s="14"/>
      <c r="H163" s="15"/>
      <c r="I163" s="16"/>
    </row>
    <row r="164" spans="1:9" ht="12.9" customHeight="1">
      <c r="A164" s="17" t="s">
        <v>93</v>
      </c>
      <c r="B164" s="18" t="s">
        <v>94</v>
      </c>
      <c r="C164" s="14"/>
      <c r="D164" s="14"/>
      <c r="E164" s="19"/>
      <c r="F164" s="20">
        <v>26275.84</v>
      </c>
      <c r="G164" s="21">
        <v>2.75E-2</v>
      </c>
      <c r="H164" s="22">
        <v>5.0765163784004336E-2</v>
      </c>
      <c r="I164" s="23"/>
    </row>
    <row r="165" spans="1:9" ht="12.9" customHeight="1">
      <c r="A165" s="5"/>
      <c r="B165" s="13" t="s">
        <v>88</v>
      </c>
      <c r="C165" s="14"/>
      <c r="D165" s="14"/>
      <c r="E165" s="14"/>
      <c r="F165" s="24">
        <v>26275.84</v>
      </c>
      <c r="G165" s="25">
        <v>2.75E-2</v>
      </c>
      <c r="H165" s="26"/>
      <c r="I165" s="27"/>
    </row>
    <row r="166" spans="1:9" ht="12.9" customHeight="1">
      <c r="A166" s="5"/>
      <c r="B166" s="28" t="s">
        <v>91</v>
      </c>
      <c r="C166" s="29"/>
      <c r="D166" s="2"/>
      <c r="E166" s="29"/>
      <c r="F166" s="24">
        <v>26275.84</v>
      </c>
      <c r="G166" s="25">
        <v>2.75E-2</v>
      </c>
      <c r="H166" s="26"/>
      <c r="I166" s="27"/>
    </row>
    <row r="167" spans="1:9" ht="12.9" customHeight="1">
      <c r="A167" s="5"/>
      <c r="B167" s="28" t="s">
        <v>96</v>
      </c>
      <c r="C167" s="14"/>
      <c r="D167" s="2"/>
      <c r="E167" s="14"/>
      <c r="F167" s="31">
        <v>25023.294300000001</v>
      </c>
      <c r="G167" s="25">
        <v>2.6100000000000002E-2</v>
      </c>
      <c r="H167" s="26"/>
      <c r="I167" s="27"/>
    </row>
    <row r="168" spans="1:9" ht="12.9" customHeight="1">
      <c r="A168" s="5"/>
      <c r="B168" s="32" t="s">
        <v>97</v>
      </c>
      <c r="C168" s="33"/>
      <c r="D168" s="33"/>
      <c r="E168" s="33"/>
      <c r="F168" s="34">
        <v>957193.93</v>
      </c>
      <c r="G168" s="35">
        <v>1</v>
      </c>
      <c r="H168" s="36"/>
      <c r="I168" s="37"/>
    </row>
    <row r="169" spans="1:9" ht="12.9" customHeight="1">
      <c r="A169" s="5"/>
      <c r="B169" s="7"/>
      <c r="C169" s="5"/>
      <c r="D169" s="5"/>
      <c r="E169" s="5"/>
      <c r="F169" s="5"/>
      <c r="G169" s="5"/>
      <c r="H169" s="5"/>
      <c r="I169" s="5"/>
    </row>
    <row r="170" spans="1:9" ht="12.9" customHeight="1">
      <c r="A170" s="5"/>
      <c r="B170" s="4" t="s">
        <v>146</v>
      </c>
      <c r="C170" s="5"/>
      <c r="D170" s="5"/>
      <c r="E170" s="5"/>
      <c r="F170" s="5"/>
      <c r="G170" s="5"/>
      <c r="H170" s="5"/>
      <c r="I170" s="5"/>
    </row>
    <row r="171" spans="1:9" ht="12.9" customHeight="1">
      <c r="A171" s="5"/>
      <c r="B171" s="4" t="s">
        <v>98</v>
      </c>
      <c r="C171" s="5"/>
      <c r="D171" s="5"/>
      <c r="E171" s="5"/>
      <c r="F171" s="5"/>
      <c r="G171" s="5"/>
      <c r="H171" s="5"/>
      <c r="I171" s="5"/>
    </row>
    <row r="172" spans="1:9" ht="12.9" customHeight="1">
      <c r="A172" s="5"/>
      <c r="B172" s="4" t="s">
        <v>99</v>
      </c>
      <c r="C172" s="5"/>
      <c r="D172" s="5"/>
      <c r="E172" s="5"/>
      <c r="F172" s="5"/>
      <c r="G172" s="5"/>
      <c r="H172" s="5"/>
      <c r="I172" s="5"/>
    </row>
    <row r="173" spans="1:9" ht="26.1" customHeight="1">
      <c r="A173" s="5"/>
      <c r="B173" s="50" t="s">
        <v>100</v>
      </c>
      <c r="C173" s="50"/>
      <c r="D173" s="50"/>
      <c r="E173" s="50"/>
      <c r="F173" s="50"/>
      <c r="G173" s="50"/>
      <c r="H173" s="50"/>
      <c r="I173" s="50"/>
    </row>
    <row r="174" spans="1:9" ht="12.9" customHeight="1">
      <c r="A174" s="5"/>
      <c r="B174" s="50" t="s">
        <v>101</v>
      </c>
      <c r="C174" s="50"/>
      <c r="D174" s="50"/>
      <c r="E174" s="50"/>
      <c r="F174" s="50"/>
      <c r="G174" s="50"/>
      <c r="H174" s="50"/>
      <c r="I174" s="50"/>
    </row>
    <row r="175" spans="1:9" ht="12.9" customHeight="1">
      <c r="A175" s="5"/>
      <c r="B175" s="50"/>
      <c r="C175" s="50"/>
      <c r="D175" s="50"/>
      <c r="E175" s="50"/>
      <c r="F175" s="50"/>
      <c r="G175" s="50"/>
      <c r="H175" s="50"/>
      <c r="I175" s="50"/>
    </row>
    <row r="176" spans="1:9" ht="12.9" customHeight="1">
      <c r="A176" s="5"/>
      <c r="B176" s="53" t="s">
        <v>1213</v>
      </c>
      <c r="C176" s="53"/>
      <c r="D176" s="53"/>
      <c r="E176" s="53"/>
      <c r="F176" s="5"/>
      <c r="G176" s="5"/>
      <c r="H176" s="5"/>
      <c r="I176" s="5"/>
    </row>
    <row r="177" spans="1:9" ht="12.9" customHeight="1">
      <c r="A177" s="5"/>
      <c r="B177" s="50"/>
      <c r="C177" s="50"/>
      <c r="D177" s="50"/>
      <c r="E177" s="50"/>
      <c r="F177" s="50"/>
      <c r="G177" s="50"/>
      <c r="H177" s="50"/>
      <c r="I177" s="50"/>
    </row>
    <row r="178" spans="1:9" ht="12.9" customHeight="1">
      <c r="A178" s="5"/>
      <c r="B178" s="5"/>
      <c r="C178" s="51" t="s">
        <v>1214</v>
      </c>
      <c r="D178" s="51"/>
      <c r="E178" s="51"/>
      <c r="F178" s="51"/>
      <c r="G178" s="5"/>
      <c r="H178" s="5"/>
      <c r="I178" s="5"/>
    </row>
    <row r="179" spans="1:9" ht="12.9" customHeight="1">
      <c r="A179" s="5"/>
      <c r="B179" s="38" t="s">
        <v>103</v>
      </c>
      <c r="C179" s="51" t="s">
        <v>104</v>
      </c>
      <c r="D179" s="51"/>
      <c r="E179" s="51"/>
      <c r="F179" s="51"/>
      <c r="G179" s="5"/>
      <c r="H179" s="5"/>
      <c r="I179" s="5"/>
    </row>
    <row r="180" spans="1:9" ht="135" customHeight="1">
      <c r="A180" s="5"/>
      <c r="B180" s="39"/>
      <c r="C180" s="52"/>
      <c r="D180" s="52"/>
      <c r="E180" s="5"/>
      <c r="F180" s="5"/>
      <c r="G180" s="5"/>
      <c r="H180" s="5"/>
      <c r="I180" s="5"/>
    </row>
  </sheetData>
  <mergeCells count="8">
    <mergeCell ref="C178:F178"/>
    <mergeCell ref="C179:F179"/>
    <mergeCell ref="C180:D180"/>
    <mergeCell ref="B173:I173"/>
    <mergeCell ref="B174:I174"/>
    <mergeCell ref="B175:I175"/>
    <mergeCell ref="B176:E176"/>
    <mergeCell ref="B177:I177"/>
  </mergeCells>
  <hyperlinks>
    <hyperlink ref="A1" location="AxisCorporateBondFund" display="AXISCOF" xr:uid="{00000000-0004-0000-1000-000000000000}"/>
    <hyperlink ref="B1" location="AxisCorporateBondFund" display="Axis Corporate Bond Fund" xr:uid="{00000000-0004-0000-1000-000001000000}"/>
  </hyperlinks>
  <pageMargins left="0" right="0" top="0" bottom="0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I51"/>
  <sheetViews>
    <sheetView workbookViewId="0">
      <selection activeCell="B46" sqref="B46:I46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25</v>
      </c>
      <c r="B1" s="4" t="s">
        <v>26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1215</v>
      </c>
      <c r="B7" s="18" t="s">
        <v>1216</v>
      </c>
      <c r="C7" s="14" t="s">
        <v>1217</v>
      </c>
      <c r="D7" s="14" t="s">
        <v>84</v>
      </c>
      <c r="E7" s="19">
        <v>48000000</v>
      </c>
      <c r="F7" s="20">
        <v>48957.264000000003</v>
      </c>
      <c r="G7" s="21">
        <v>0.24390000000000001</v>
      </c>
      <c r="H7" s="22">
        <v>6.1289999999999997E-2</v>
      </c>
      <c r="I7" s="23"/>
    </row>
    <row r="8" spans="1:9" ht="12.9" customHeight="1">
      <c r="A8" s="17" t="s">
        <v>1218</v>
      </c>
      <c r="B8" s="18" t="s">
        <v>1219</v>
      </c>
      <c r="C8" s="14" t="s">
        <v>1220</v>
      </c>
      <c r="D8" s="14" t="s">
        <v>84</v>
      </c>
      <c r="E8" s="19">
        <v>34500000</v>
      </c>
      <c r="F8" s="20">
        <v>35192.7255</v>
      </c>
      <c r="G8" s="21">
        <v>0.17530000000000001</v>
      </c>
      <c r="H8" s="22">
        <v>6.1289999999999997E-2</v>
      </c>
      <c r="I8" s="23"/>
    </row>
    <row r="9" spans="1:9" ht="12.9" customHeight="1">
      <c r="A9" s="17" t="s">
        <v>1221</v>
      </c>
      <c r="B9" s="18" t="s">
        <v>1222</v>
      </c>
      <c r="C9" s="14" t="s">
        <v>1223</v>
      </c>
      <c r="D9" s="14" t="s">
        <v>84</v>
      </c>
      <c r="E9" s="19">
        <v>15800000</v>
      </c>
      <c r="F9" s="20">
        <v>16117.2482</v>
      </c>
      <c r="G9" s="21">
        <v>8.0299999999999996E-2</v>
      </c>
      <c r="H9" s="22">
        <v>6.1289999999999997E-2</v>
      </c>
      <c r="I9" s="23"/>
    </row>
    <row r="10" spans="1:9" ht="12.9" customHeight="1">
      <c r="A10" s="17" t="s">
        <v>1224</v>
      </c>
      <c r="B10" s="18" t="s">
        <v>1225</v>
      </c>
      <c r="C10" s="14" t="s">
        <v>1226</v>
      </c>
      <c r="D10" s="14" t="s">
        <v>84</v>
      </c>
      <c r="E10" s="19">
        <v>14300000</v>
      </c>
      <c r="F10" s="20">
        <v>14581.3668</v>
      </c>
      <c r="G10" s="21">
        <v>7.2599999999999998E-2</v>
      </c>
      <c r="H10" s="22">
        <v>6.1693999999999999E-2</v>
      </c>
      <c r="I10" s="23"/>
    </row>
    <row r="11" spans="1:9" ht="12.9" customHeight="1">
      <c r="A11" s="17" t="s">
        <v>1227</v>
      </c>
      <c r="B11" s="18" t="s">
        <v>1228</v>
      </c>
      <c r="C11" s="14" t="s">
        <v>1229</v>
      </c>
      <c r="D11" s="14" t="s">
        <v>84</v>
      </c>
      <c r="E11" s="19">
        <v>10300000</v>
      </c>
      <c r="F11" s="20">
        <v>10532.677</v>
      </c>
      <c r="G11" s="21">
        <v>5.2499999999999998E-2</v>
      </c>
      <c r="H11" s="22">
        <v>6.0908999999999998E-2</v>
      </c>
      <c r="I11" s="23"/>
    </row>
    <row r="12" spans="1:9" ht="12.9" customHeight="1">
      <c r="A12" s="17" t="s">
        <v>1230</v>
      </c>
      <c r="B12" s="18" t="s">
        <v>1231</v>
      </c>
      <c r="C12" s="14" t="s">
        <v>1232</v>
      </c>
      <c r="D12" s="14" t="s">
        <v>84</v>
      </c>
      <c r="E12" s="19">
        <v>7500000</v>
      </c>
      <c r="F12" s="20">
        <v>7648.98</v>
      </c>
      <c r="G12" s="21">
        <v>3.8100000000000002E-2</v>
      </c>
      <c r="H12" s="22">
        <v>6.0908999999999998E-2</v>
      </c>
      <c r="I12" s="23"/>
    </row>
    <row r="13" spans="1:9" ht="12.9" customHeight="1">
      <c r="A13" s="17" t="s">
        <v>1233</v>
      </c>
      <c r="B13" s="18" t="s">
        <v>1234</v>
      </c>
      <c r="C13" s="14" t="s">
        <v>1235</v>
      </c>
      <c r="D13" s="14" t="s">
        <v>84</v>
      </c>
      <c r="E13" s="19">
        <v>7100000</v>
      </c>
      <c r="F13" s="20">
        <v>7262.7106999999996</v>
      </c>
      <c r="G13" s="21">
        <v>3.6200000000000003E-2</v>
      </c>
      <c r="H13" s="22">
        <v>6.0024000000000001E-2</v>
      </c>
      <c r="I13" s="23"/>
    </row>
    <row r="14" spans="1:9" ht="12.9" customHeight="1">
      <c r="A14" s="17" t="s">
        <v>1236</v>
      </c>
      <c r="B14" s="18" t="s">
        <v>1237</v>
      </c>
      <c r="C14" s="14" t="s">
        <v>1238</v>
      </c>
      <c r="D14" s="14" t="s">
        <v>84</v>
      </c>
      <c r="E14" s="19">
        <v>6300000</v>
      </c>
      <c r="F14" s="20">
        <v>6419.5487999999996</v>
      </c>
      <c r="G14" s="21">
        <v>3.2000000000000001E-2</v>
      </c>
      <c r="H14" s="22">
        <v>6.2114000000000003E-2</v>
      </c>
      <c r="I14" s="23"/>
    </row>
    <row r="15" spans="1:9" ht="12.9" customHeight="1">
      <c r="A15" s="17" t="s">
        <v>1239</v>
      </c>
      <c r="B15" s="18" t="s">
        <v>1240</v>
      </c>
      <c r="C15" s="14" t="s">
        <v>1241</v>
      </c>
      <c r="D15" s="14" t="s">
        <v>84</v>
      </c>
      <c r="E15" s="19">
        <v>6200000</v>
      </c>
      <c r="F15" s="20">
        <v>6325.9840000000004</v>
      </c>
      <c r="G15" s="21">
        <v>3.15E-2</v>
      </c>
      <c r="H15" s="22">
        <v>6.0024000000000001E-2</v>
      </c>
      <c r="I15" s="23"/>
    </row>
    <row r="16" spans="1:9" ht="12.9" customHeight="1">
      <c r="A16" s="17" t="s">
        <v>1242</v>
      </c>
      <c r="B16" s="18" t="s">
        <v>1243</v>
      </c>
      <c r="C16" s="14" t="s">
        <v>1244</v>
      </c>
      <c r="D16" s="14" t="s">
        <v>84</v>
      </c>
      <c r="E16" s="19">
        <v>6000000</v>
      </c>
      <c r="F16" s="20">
        <v>6166.26</v>
      </c>
      <c r="G16" s="21">
        <v>3.0700000000000002E-2</v>
      </c>
      <c r="H16" s="22">
        <v>6.1599000000000001E-2</v>
      </c>
      <c r="I16" s="23"/>
    </row>
    <row r="17" spans="1:9" ht="12.9" customHeight="1">
      <c r="A17" s="17" t="s">
        <v>1245</v>
      </c>
      <c r="B17" s="18" t="s">
        <v>1246</v>
      </c>
      <c r="C17" s="14" t="s">
        <v>1247</v>
      </c>
      <c r="D17" s="14" t="s">
        <v>84</v>
      </c>
      <c r="E17" s="19">
        <v>6000000</v>
      </c>
      <c r="F17" s="20">
        <v>6136.2060000000001</v>
      </c>
      <c r="G17" s="21">
        <v>3.0599999999999999E-2</v>
      </c>
      <c r="H17" s="22">
        <v>6.0409999999999998E-2</v>
      </c>
      <c r="I17" s="23"/>
    </row>
    <row r="18" spans="1:9" ht="12.9" customHeight="1">
      <c r="A18" s="17" t="s">
        <v>1248</v>
      </c>
      <c r="B18" s="18" t="s">
        <v>1249</v>
      </c>
      <c r="C18" s="14" t="s">
        <v>1250</v>
      </c>
      <c r="D18" s="14" t="s">
        <v>84</v>
      </c>
      <c r="E18" s="19">
        <v>5500000</v>
      </c>
      <c r="F18" s="20">
        <v>5544.7974999999997</v>
      </c>
      <c r="G18" s="21">
        <v>2.76E-2</v>
      </c>
      <c r="H18" s="22">
        <v>5.9921000000000002E-2</v>
      </c>
      <c r="I18" s="23"/>
    </row>
    <row r="19" spans="1:9" ht="12.9" customHeight="1">
      <c r="A19" s="17" t="s">
        <v>1251</v>
      </c>
      <c r="B19" s="18" t="s">
        <v>1252</v>
      </c>
      <c r="C19" s="14" t="s">
        <v>1253</v>
      </c>
      <c r="D19" s="14" t="s">
        <v>84</v>
      </c>
      <c r="E19" s="19">
        <v>5000000</v>
      </c>
      <c r="F19" s="20">
        <v>5099.09</v>
      </c>
      <c r="G19" s="21">
        <v>2.5399999999999999E-2</v>
      </c>
      <c r="H19" s="22">
        <v>6.1289999999999997E-2</v>
      </c>
      <c r="I19" s="23"/>
    </row>
    <row r="20" spans="1:9" ht="12.9" customHeight="1">
      <c r="A20" s="17" t="s">
        <v>1254</v>
      </c>
      <c r="B20" s="18" t="s">
        <v>1255</v>
      </c>
      <c r="C20" s="14" t="s">
        <v>1256</v>
      </c>
      <c r="D20" s="14" t="s">
        <v>84</v>
      </c>
      <c r="E20" s="19">
        <v>5000000</v>
      </c>
      <c r="F20" s="20">
        <v>5098.34</v>
      </c>
      <c r="G20" s="21">
        <v>2.5399999999999999E-2</v>
      </c>
      <c r="H20" s="22">
        <v>6.1496000000000002E-2</v>
      </c>
      <c r="I20" s="23"/>
    </row>
    <row r="21" spans="1:9" ht="12.9" customHeight="1">
      <c r="A21" s="17" t="s">
        <v>1257</v>
      </c>
      <c r="B21" s="18" t="s">
        <v>1258</v>
      </c>
      <c r="C21" s="14" t="s">
        <v>1259</v>
      </c>
      <c r="D21" s="14" t="s">
        <v>84</v>
      </c>
      <c r="E21" s="19">
        <v>5000000</v>
      </c>
      <c r="F21" s="20">
        <v>5046.4849999999997</v>
      </c>
      <c r="G21" s="21">
        <v>2.5100000000000001E-2</v>
      </c>
      <c r="H21" s="22">
        <v>6.0285999999999999E-2</v>
      </c>
      <c r="I21" s="23"/>
    </row>
    <row r="22" spans="1:9" ht="12.9" customHeight="1">
      <c r="A22" s="17" t="s">
        <v>1260</v>
      </c>
      <c r="B22" s="18" t="s">
        <v>1261</v>
      </c>
      <c r="C22" s="14" t="s">
        <v>1262</v>
      </c>
      <c r="D22" s="14" t="s">
        <v>84</v>
      </c>
      <c r="E22" s="19">
        <v>4500000</v>
      </c>
      <c r="F22" s="20">
        <v>4593.4155000000001</v>
      </c>
      <c r="G22" s="21">
        <v>2.29E-2</v>
      </c>
      <c r="H22" s="22">
        <v>6.0506999999999998E-2</v>
      </c>
      <c r="I22" s="23"/>
    </row>
    <row r="23" spans="1:9" ht="12.9" customHeight="1">
      <c r="A23" s="17" t="s">
        <v>1263</v>
      </c>
      <c r="B23" s="18" t="s">
        <v>1264</v>
      </c>
      <c r="C23" s="14" t="s">
        <v>1265</v>
      </c>
      <c r="D23" s="14" t="s">
        <v>84</v>
      </c>
      <c r="E23" s="19">
        <v>2000000</v>
      </c>
      <c r="F23" s="20">
        <v>2045.36</v>
      </c>
      <c r="G23" s="21">
        <v>1.0200000000000001E-2</v>
      </c>
      <c r="H23" s="22">
        <v>6.0123999999999997E-2</v>
      </c>
      <c r="I23" s="23"/>
    </row>
    <row r="24" spans="1:9" ht="12.9" customHeight="1">
      <c r="A24" s="17" t="s">
        <v>1266</v>
      </c>
      <c r="B24" s="18" t="s">
        <v>1267</v>
      </c>
      <c r="C24" s="14" t="s">
        <v>1268</v>
      </c>
      <c r="D24" s="14" t="s">
        <v>84</v>
      </c>
      <c r="E24" s="19">
        <v>1500000</v>
      </c>
      <c r="F24" s="20">
        <v>1509.6</v>
      </c>
      <c r="G24" s="21">
        <v>7.4999999999999997E-3</v>
      </c>
      <c r="H24" s="22">
        <v>6.0020999999999998E-2</v>
      </c>
      <c r="I24" s="23"/>
    </row>
    <row r="25" spans="1:9" ht="12.9" customHeight="1">
      <c r="A25" s="17" t="s">
        <v>1269</v>
      </c>
      <c r="B25" s="18" t="s">
        <v>1270</v>
      </c>
      <c r="C25" s="14" t="s">
        <v>1271</v>
      </c>
      <c r="D25" s="14" t="s">
        <v>84</v>
      </c>
      <c r="E25" s="19">
        <v>1000000</v>
      </c>
      <c r="F25" s="20">
        <v>1020.355</v>
      </c>
      <c r="G25" s="21">
        <v>5.1000000000000004E-3</v>
      </c>
      <c r="H25" s="22">
        <v>6.1599000000000001E-2</v>
      </c>
      <c r="I25" s="23"/>
    </row>
    <row r="26" spans="1:9" ht="12.9" customHeight="1">
      <c r="A26" s="17" t="s">
        <v>1272</v>
      </c>
      <c r="B26" s="18" t="s">
        <v>1273</v>
      </c>
      <c r="C26" s="14" t="s">
        <v>1274</v>
      </c>
      <c r="D26" s="14" t="s">
        <v>84</v>
      </c>
      <c r="E26" s="19">
        <v>1000000</v>
      </c>
      <c r="F26" s="20">
        <v>1019.747</v>
      </c>
      <c r="G26" s="21">
        <v>5.1000000000000004E-3</v>
      </c>
      <c r="H26" s="22">
        <v>6.1599000000000001E-2</v>
      </c>
      <c r="I26" s="23"/>
    </row>
    <row r="27" spans="1:9" ht="12.9" customHeight="1">
      <c r="A27" s="17" t="s">
        <v>1275</v>
      </c>
      <c r="B27" s="18" t="s">
        <v>1276</v>
      </c>
      <c r="C27" s="14" t="s">
        <v>1277</v>
      </c>
      <c r="D27" s="14" t="s">
        <v>84</v>
      </c>
      <c r="E27" s="19">
        <v>1000000</v>
      </c>
      <c r="F27" s="20">
        <v>1014.654</v>
      </c>
      <c r="G27" s="21">
        <v>5.1000000000000004E-3</v>
      </c>
      <c r="H27" s="22">
        <v>6.1693999999999999E-2</v>
      </c>
      <c r="I27" s="23"/>
    </row>
    <row r="28" spans="1:9" ht="12.9" customHeight="1">
      <c r="A28" s="17" t="s">
        <v>1278</v>
      </c>
      <c r="B28" s="18" t="s">
        <v>1279</v>
      </c>
      <c r="C28" s="14" t="s">
        <v>1280</v>
      </c>
      <c r="D28" s="14" t="s">
        <v>84</v>
      </c>
      <c r="E28" s="19">
        <v>500000</v>
      </c>
      <c r="F28" s="20">
        <v>511.3365</v>
      </c>
      <c r="G28" s="21">
        <v>2.5000000000000001E-3</v>
      </c>
      <c r="H28" s="22">
        <v>6.0332999999999998E-2</v>
      </c>
      <c r="I28" s="23"/>
    </row>
    <row r="29" spans="1:9" ht="12.9" customHeight="1">
      <c r="A29" s="17" t="s">
        <v>1281</v>
      </c>
      <c r="B29" s="18" t="s">
        <v>1282</v>
      </c>
      <c r="C29" s="14" t="s">
        <v>1283</v>
      </c>
      <c r="D29" s="14" t="s">
        <v>84</v>
      </c>
      <c r="E29" s="19">
        <v>300000</v>
      </c>
      <c r="F29" s="20">
        <v>306.09089999999998</v>
      </c>
      <c r="G29" s="21">
        <v>1.5E-3</v>
      </c>
      <c r="H29" s="22">
        <v>6.0908999999999998E-2</v>
      </c>
      <c r="I29" s="23"/>
    </row>
    <row r="30" spans="1:9" ht="12.9" customHeight="1">
      <c r="A30" s="17" t="s">
        <v>1284</v>
      </c>
      <c r="B30" s="18" t="s">
        <v>1285</v>
      </c>
      <c r="C30" s="14" t="s">
        <v>1286</v>
      </c>
      <c r="D30" s="14" t="s">
        <v>84</v>
      </c>
      <c r="E30" s="19">
        <v>200000</v>
      </c>
      <c r="F30" s="20">
        <v>203.8734</v>
      </c>
      <c r="G30" s="21">
        <v>1E-3</v>
      </c>
      <c r="H30" s="22">
        <v>6.1747999999999997E-2</v>
      </c>
      <c r="I30" s="23"/>
    </row>
    <row r="31" spans="1:9" ht="12.9" customHeight="1">
      <c r="A31" s="17" t="s">
        <v>1287</v>
      </c>
      <c r="B31" s="18" t="s">
        <v>1288</v>
      </c>
      <c r="C31" s="14" t="s">
        <v>1289</v>
      </c>
      <c r="D31" s="14" t="s">
        <v>84</v>
      </c>
      <c r="E31" s="19">
        <v>50000</v>
      </c>
      <c r="F31" s="20">
        <v>51.054000000000002</v>
      </c>
      <c r="G31" s="21">
        <v>2.9999999999999997E-4</v>
      </c>
      <c r="H31" s="22">
        <v>6.0427000000000002E-2</v>
      </c>
      <c r="I31" s="23"/>
    </row>
    <row r="32" spans="1:9" ht="12.9" customHeight="1">
      <c r="A32" s="5"/>
      <c r="B32" s="13" t="s">
        <v>88</v>
      </c>
      <c r="C32" s="14"/>
      <c r="D32" s="14"/>
      <c r="E32" s="14"/>
      <c r="F32" s="24">
        <v>198405.1698</v>
      </c>
      <c r="G32" s="25">
        <v>0.98829999999999996</v>
      </c>
      <c r="H32" s="26"/>
      <c r="I32" s="27"/>
    </row>
    <row r="33" spans="1:9" ht="12.9" customHeight="1">
      <c r="A33" s="5"/>
      <c r="B33" s="28" t="s">
        <v>89</v>
      </c>
      <c r="C33" s="2"/>
      <c r="D33" s="2"/>
      <c r="E33" s="2"/>
      <c r="F33" s="26" t="s">
        <v>90</v>
      </c>
      <c r="G33" s="26" t="s">
        <v>90</v>
      </c>
      <c r="H33" s="26"/>
      <c r="I33" s="27"/>
    </row>
    <row r="34" spans="1:9" ht="12.9" customHeight="1">
      <c r="A34" s="5"/>
      <c r="B34" s="28" t="s">
        <v>88</v>
      </c>
      <c r="C34" s="2"/>
      <c r="D34" s="2"/>
      <c r="E34" s="2"/>
      <c r="F34" s="26" t="s">
        <v>90</v>
      </c>
      <c r="G34" s="26" t="s">
        <v>90</v>
      </c>
      <c r="H34" s="26"/>
      <c r="I34" s="27"/>
    </row>
    <row r="35" spans="1:9" ht="12.9" customHeight="1">
      <c r="A35" s="5"/>
      <c r="B35" s="28" t="s">
        <v>91</v>
      </c>
      <c r="C35" s="29"/>
      <c r="D35" s="2"/>
      <c r="E35" s="29"/>
      <c r="F35" s="24">
        <v>198405.1698</v>
      </c>
      <c r="G35" s="25">
        <v>0.98829999999999996</v>
      </c>
      <c r="H35" s="26"/>
      <c r="I35" s="27"/>
    </row>
    <row r="36" spans="1:9" ht="12.9" customHeight="1">
      <c r="A36" s="5"/>
      <c r="B36" s="13" t="s">
        <v>92</v>
      </c>
      <c r="C36" s="14"/>
      <c r="D36" s="14"/>
      <c r="E36" s="14"/>
      <c r="F36" s="14"/>
      <c r="G36" s="14"/>
      <c r="H36" s="15"/>
      <c r="I36" s="16"/>
    </row>
    <row r="37" spans="1:9" ht="12.9" customHeight="1">
      <c r="A37" s="17" t="s">
        <v>93</v>
      </c>
      <c r="B37" s="18" t="s">
        <v>94</v>
      </c>
      <c r="C37" s="14"/>
      <c r="D37" s="14"/>
      <c r="E37" s="19"/>
      <c r="F37" s="20">
        <v>346.94</v>
      </c>
      <c r="G37" s="21">
        <v>1.6999999999999999E-3</v>
      </c>
      <c r="H37" s="22">
        <v>5.0765141654128466E-2</v>
      </c>
      <c r="I37" s="23"/>
    </row>
    <row r="38" spans="1:9" ht="12.9" customHeight="1">
      <c r="A38" s="5"/>
      <c r="B38" s="13" t="s">
        <v>88</v>
      </c>
      <c r="C38" s="14"/>
      <c r="D38" s="14"/>
      <c r="E38" s="14"/>
      <c r="F38" s="24">
        <v>346.94</v>
      </c>
      <c r="G38" s="25">
        <v>1.6999999999999999E-3</v>
      </c>
      <c r="H38" s="26"/>
      <c r="I38" s="27"/>
    </row>
    <row r="39" spans="1:9" ht="12.9" customHeight="1">
      <c r="A39" s="5"/>
      <c r="B39" s="28" t="s">
        <v>91</v>
      </c>
      <c r="C39" s="29"/>
      <c r="D39" s="2"/>
      <c r="E39" s="29"/>
      <c r="F39" s="24">
        <v>346.94</v>
      </c>
      <c r="G39" s="25">
        <v>1.6999999999999999E-3</v>
      </c>
      <c r="H39" s="26"/>
      <c r="I39" s="27"/>
    </row>
    <row r="40" spans="1:9" ht="12.9" customHeight="1">
      <c r="A40" s="5"/>
      <c r="B40" s="28" t="s">
        <v>96</v>
      </c>
      <c r="C40" s="14"/>
      <c r="D40" s="2"/>
      <c r="E40" s="14"/>
      <c r="F40" s="31">
        <v>1997.7701999999999</v>
      </c>
      <c r="G40" s="25">
        <v>0.01</v>
      </c>
      <c r="H40" s="26"/>
      <c r="I40" s="27"/>
    </row>
    <row r="41" spans="1:9" ht="12.9" customHeight="1">
      <c r="A41" s="5"/>
      <c r="B41" s="32" t="s">
        <v>97</v>
      </c>
      <c r="C41" s="33"/>
      <c r="D41" s="33"/>
      <c r="E41" s="33"/>
      <c r="F41" s="34">
        <v>200749.88</v>
      </c>
      <c r="G41" s="35">
        <v>1</v>
      </c>
      <c r="H41" s="36"/>
      <c r="I41" s="37"/>
    </row>
    <row r="42" spans="1:9" ht="12.9" customHeight="1">
      <c r="A42" s="5"/>
      <c r="B42" s="7"/>
      <c r="C42" s="5"/>
      <c r="D42" s="5"/>
      <c r="E42" s="5"/>
      <c r="F42" s="5"/>
      <c r="G42" s="5"/>
      <c r="H42" s="5"/>
      <c r="I42" s="5"/>
    </row>
    <row r="43" spans="1:9" ht="12.9" customHeight="1">
      <c r="A43" s="5"/>
      <c r="B43" s="4" t="s">
        <v>99</v>
      </c>
      <c r="C43" s="5"/>
      <c r="D43" s="5"/>
      <c r="E43" s="5"/>
      <c r="F43" s="5"/>
      <c r="G43" s="5"/>
      <c r="H43" s="5"/>
      <c r="I43" s="5"/>
    </row>
    <row r="44" spans="1:9" ht="26.1" customHeight="1">
      <c r="A44" s="5"/>
      <c r="B44" s="50" t="s">
        <v>100</v>
      </c>
      <c r="C44" s="50"/>
      <c r="D44" s="50"/>
      <c r="E44" s="50"/>
      <c r="F44" s="50"/>
      <c r="G44" s="50"/>
      <c r="H44" s="50"/>
      <c r="I44" s="50"/>
    </row>
    <row r="45" spans="1:9" ht="12.9" customHeight="1">
      <c r="A45" s="5"/>
      <c r="B45" s="50" t="s">
        <v>101</v>
      </c>
      <c r="C45" s="50"/>
      <c r="D45" s="50"/>
      <c r="E45" s="50"/>
      <c r="F45" s="50"/>
      <c r="G45" s="50"/>
      <c r="H45" s="50"/>
      <c r="I45" s="50"/>
    </row>
    <row r="46" spans="1:9" ht="12.9" customHeight="1">
      <c r="A46" s="5"/>
      <c r="B46" s="50" t="s">
        <v>1290</v>
      </c>
      <c r="C46" s="50"/>
      <c r="D46" s="50"/>
      <c r="E46" s="50"/>
      <c r="F46" s="50"/>
      <c r="G46" s="5"/>
      <c r="H46" s="5"/>
      <c r="I46" s="5"/>
    </row>
    <row r="47" spans="1:9" ht="12.9" customHeight="1">
      <c r="A47" s="5"/>
      <c r="B47" s="50"/>
      <c r="C47" s="50"/>
      <c r="D47" s="50"/>
      <c r="E47" s="50"/>
      <c r="F47" s="50"/>
      <c r="G47" s="50"/>
      <c r="H47" s="50"/>
      <c r="I47" s="50"/>
    </row>
    <row r="48" spans="1:9" ht="12.9" customHeight="1">
      <c r="A48" s="5"/>
      <c r="B48" s="50"/>
      <c r="C48" s="50"/>
      <c r="D48" s="50"/>
      <c r="E48" s="50"/>
      <c r="F48" s="50"/>
      <c r="G48" s="50"/>
      <c r="H48" s="50"/>
      <c r="I48" s="50"/>
    </row>
    <row r="49" spans="1:9" ht="12.9" customHeight="1">
      <c r="A49" s="5"/>
      <c r="B49" s="5"/>
      <c r="C49" s="51" t="s">
        <v>1291</v>
      </c>
      <c r="D49" s="51"/>
      <c r="E49" s="51"/>
      <c r="F49" s="51"/>
      <c r="G49" s="5"/>
      <c r="H49" s="5"/>
      <c r="I49" s="5"/>
    </row>
    <row r="50" spans="1:9" ht="12.9" customHeight="1">
      <c r="A50" s="5"/>
      <c r="B50" s="38" t="s">
        <v>103</v>
      </c>
      <c r="C50" s="51" t="s">
        <v>104</v>
      </c>
      <c r="D50" s="51"/>
      <c r="E50" s="51"/>
      <c r="F50" s="51"/>
      <c r="G50" s="5"/>
      <c r="H50" s="5"/>
      <c r="I50" s="5"/>
    </row>
    <row r="51" spans="1:9" ht="135" customHeight="1">
      <c r="A51" s="5"/>
      <c r="B51" s="39"/>
      <c r="C51" s="52"/>
      <c r="D51" s="52"/>
      <c r="E51" s="5"/>
      <c r="F51" s="5"/>
      <c r="G51" s="5"/>
      <c r="H51" s="5"/>
      <c r="I51" s="5"/>
    </row>
  </sheetData>
  <mergeCells count="8">
    <mergeCell ref="C49:F49"/>
    <mergeCell ref="C50:F50"/>
    <mergeCell ref="C51:D51"/>
    <mergeCell ref="B44:I44"/>
    <mergeCell ref="B45:I45"/>
    <mergeCell ref="B46:F46"/>
    <mergeCell ref="B47:I47"/>
    <mergeCell ref="B48:I48"/>
  </mergeCells>
  <hyperlinks>
    <hyperlink ref="A1" location="AxisCRISILIBXSDLMay2027IndexFund" display="AXISCSDL" xr:uid="{00000000-0004-0000-1200-000000000000}"/>
    <hyperlink ref="B1" location="AxisCRISILIBXSDLMay2027IndexFund" display="Axis CRISIL IBX SDL May 2027 Index Fund" xr:uid="{00000000-0004-0000-1200-000001000000}"/>
  </hyperlinks>
  <pageMargins left="0" right="0" top="0" bottom="0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I89"/>
  <sheetViews>
    <sheetView workbookViewId="0">
      <selection activeCell="B85" sqref="B85:I85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27</v>
      </c>
      <c r="B1" s="4" t="s">
        <v>28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329</v>
      </c>
      <c r="B7" s="18" t="s">
        <v>330</v>
      </c>
      <c r="C7" s="14" t="s">
        <v>331</v>
      </c>
      <c r="D7" s="14" t="s">
        <v>84</v>
      </c>
      <c r="E7" s="19">
        <v>17000000</v>
      </c>
      <c r="F7" s="20">
        <v>17148.120999999999</v>
      </c>
      <c r="G7" s="21">
        <v>0.14510000000000001</v>
      </c>
      <c r="H7" s="22">
        <v>6.7664000000000002E-2</v>
      </c>
      <c r="I7" s="23"/>
    </row>
    <row r="8" spans="1:9" ht="12.9" customHeight="1">
      <c r="A8" s="17" t="s">
        <v>973</v>
      </c>
      <c r="B8" s="18" t="s">
        <v>974</v>
      </c>
      <c r="C8" s="14" t="s">
        <v>975</v>
      </c>
      <c r="D8" s="14" t="s">
        <v>84</v>
      </c>
      <c r="E8" s="19">
        <v>11500000</v>
      </c>
      <c r="F8" s="20">
        <v>11407.1145</v>
      </c>
      <c r="G8" s="21">
        <v>9.6500000000000002E-2</v>
      </c>
      <c r="H8" s="22">
        <v>6.7000000000000004E-2</v>
      </c>
      <c r="I8" s="23"/>
    </row>
    <row r="9" spans="1:9" ht="12.9" customHeight="1">
      <c r="A9" s="17" t="s">
        <v>1292</v>
      </c>
      <c r="B9" s="18" t="s">
        <v>1293</v>
      </c>
      <c r="C9" s="14" t="s">
        <v>1294</v>
      </c>
      <c r="D9" s="14" t="s">
        <v>84</v>
      </c>
      <c r="E9" s="19">
        <v>7000000</v>
      </c>
      <c r="F9" s="20">
        <v>6981.1279999999997</v>
      </c>
      <c r="G9" s="21">
        <v>5.91E-2</v>
      </c>
      <c r="H9" s="22">
        <v>7.4568999999999996E-2</v>
      </c>
      <c r="I9" s="23"/>
    </row>
    <row r="10" spans="1:9" ht="12.9" customHeight="1">
      <c r="A10" s="17" t="s">
        <v>1173</v>
      </c>
      <c r="B10" s="18" t="s">
        <v>1174</v>
      </c>
      <c r="C10" s="14" t="s">
        <v>1175</v>
      </c>
      <c r="D10" s="14" t="s">
        <v>84</v>
      </c>
      <c r="E10" s="19">
        <v>6500000</v>
      </c>
      <c r="F10" s="20">
        <v>6379.7434999999996</v>
      </c>
      <c r="G10" s="21">
        <v>5.3999999999999999E-2</v>
      </c>
      <c r="H10" s="22">
        <v>6.7049999999999998E-2</v>
      </c>
      <c r="I10" s="23"/>
    </row>
    <row r="11" spans="1:9" ht="12.9" customHeight="1">
      <c r="A11" s="17" t="s">
        <v>1295</v>
      </c>
      <c r="B11" s="18" t="s">
        <v>1296</v>
      </c>
      <c r="C11" s="14" t="s">
        <v>1297</v>
      </c>
      <c r="D11" s="14" t="s">
        <v>84</v>
      </c>
      <c r="E11" s="19">
        <v>5500000</v>
      </c>
      <c r="F11" s="20">
        <v>5499.4555</v>
      </c>
      <c r="G11" s="21">
        <v>4.65E-2</v>
      </c>
      <c r="H11" s="22">
        <v>7.5686000000000003E-2</v>
      </c>
      <c r="I11" s="23"/>
    </row>
    <row r="12" spans="1:9" ht="12.9" customHeight="1">
      <c r="A12" s="17" t="s">
        <v>1086</v>
      </c>
      <c r="B12" s="18" t="s">
        <v>1087</v>
      </c>
      <c r="C12" s="14" t="s">
        <v>1088</v>
      </c>
      <c r="D12" s="14" t="s">
        <v>109</v>
      </c>
      <c r="E12" s="19">
        <v>5000</v>
      </c>
      <c r="F12" s="20">
        <v>3829.83</v>
      </c>
      <c r="G12" s="21">
        <v>3.2399999999999998E-2</v>
      </c>
      <c r="H12" s="22">
        <v>7.0300000000000001E-2</v>
      </c>
      <c r="I12" s="23"/>
    </row>
    <row r="13" spans="1:9" ht="12.9" customHeight="1">
      <c r="A13" s="17" t="s">
        <v>1298</v>
      </c>
      <c r="B13" s="18" t="s">
        <v>1299</v>
      </c>
      <c r="C13" s="14" t="s">
        <v>1300</v>
      </c>
      <c r="D13" s="14" t="s">
        <v>109</v>
      </c>
      <c r="E13" s="19">
        <v>2500</v>
      </c>
      <c r="F13" s="20">
        <v>2533.1224999999999</v>
      </c>
      <c r="G13" s="21">
        <v>2.1399999999999999E-2</v>
      </c>
      <c r="H13" s="22">
        <v>7.22E-2</v>
      </c>
      <c r="I13" s="23"/>
    </row>
    <row r="14" spans="1:9" ht="12.9" customHeight="1">
      <c r="A14" s="17" t="s">
        <v>1179</v>
      </c>
      <c r="B14" s="18" t="s">
        <v>1180</v>
      </c>
      <c r="C14" s="14" t="s">
        <v>1181</v>
      </c>
      <c r="D14" s="14" t="s">
        <v>84</v>
      </c>
      <c r="E14" s="19">
        <v>2672500</v>
      </c>
      <c r="F14" s="20">
        <v>2508.1386000000002</v>
      </c>
      <c r="G14" s="21">
        <v>2.12E-2</v>
      </c>
      <c r="H14" s="22">
        <v>7.5169E-2</v>
      </c>
      <c r="I14" s="23"/>
    </row>
    <row r="15" spans="1:9" ht="12.9" customHeight="1">
      <c r="A15" s="17" t="s">
        <v>1301</v>
      </c>
      <c r="B15" s="18" t="s">
        <v>1302</v>
      </c>
      <c r="C15" s="14" t="s">
        <v>1303</v>
      </c>
      <c r="D15" s="14" t="s">
        <v>109</v>
      </c>
      <c r="E15" s="19">
        <v>2500</v>
      </c>
      <c r="F15" s="20">
        <v>2490.77</v>
      </c>
      <c r="G15" s="21">
        <v>2.1100000000000001E-2</v>
      </c>
      <c r="H15" s="22">
        <v>7.195E-2</v>
      </c>
      <c r="I15" s="23"/>
    </row>
    <row r="16" spans="1:9" ht="12.9" customHeight="1">
      <c r="A16" s="17" t="s">
        <v>1304</v>
      </c>
      <c r="B16" s="18" t="s">
        <v>1305</v>
      </c>
      <c r="C16" s="14" t="s">
        <v>1306</v>
      </c>
      <c r="D16" s="14" t="s">
        <v>84</v>
      </c>
      <c r="E16" s="19">
        <v>2500000</v>
      </c>
      <c r="F16" s="20">
        <v>2431.4825000000001</v>
      </c>
      <c r="G16" s="21">
        <v>2.06E-2</v>
      </c>
      <c r="H16" s="22">
        <v>7.4527999999999997E-2</v>
      </c>
      <c r="I16" s="23"/>
    </row>
    <row r="17" spans="1:9" ht="12.9" customHeight="1">
      <c r="A17" s="17" t="s">
        <v>1007</v>
      </c>
      <c r="B17" s="18" t="s">
        <v>1008</v>
      </c>
      <c r="C17" s="14" t="s">
        <v>1009</v>
      </c>
      <c r="D17" s="14" t="s">
        <v>84</v>
      </c>
      <c r="E17" s="19">
        <v>2500000</v>
      </c>
      <c r="F17" s="20">
        <v>2423.4949999999999</v>
      </c>
      <c r="G17" s="21">
        <v>2.0500000000000001E-2</v>
      </c>
      <c r="H17" s="22">
        <v>7.1414000000000005E-2</v>
      </c>
      <c r="I17" s="23"/>
    </row>
    <row r="18" spans="1:9" ht="12.9" customHeight="1">
      <c r="A18" s="17" t="s">
        <v>1307</v>
      </c>
      <c r="B18" s="18" t="s">
        <v>1308</v>
      </c>
      <c r="C18" s="14" t="s">
        <v>1309</v>
      </c>
      <c r="D18" s="14" t="s">
        <v>84</v>
      </c>
      <c r="E18" s="19">
        <v>2500000</v>
      </c>
      <c r="F18" s="20">
        <v>2389.38</v>
      </c>
      <c r="G18" s="21">
        <v>2.0199999999999999E-2</v>
      </c>
      <c r="H18" s="22">
        <v>7.5656000000000001E-2</v>
      </c>
      <c r="I18" s="23"/>
    </row>
    <row r="19" spans="1:9" ht="12.9" customHeight="1">
      <c r="A19" s="17" t="s">
        <v>1197</v>
      </c>
      <c r="B19" s="18" t="s">
        <v>1198</v>
      </c>
      <c r="C19" s="14" t="s">
        <v>1199</v>
      </c>
      <c r="D19" s="14" t="s">
        <v>84</v>
      </c>
      <c r="E19" s="19">
        <v>2000000</v>
      </c>
      <c r="F19" s="20">
        <v>2005.8979999999999</v>
      </c>
      <c r="G19" s="21">
        <v>1.7000000000000001E-2</v>
      </c>
      <c r="H19" s="22">
        <v>7.5940999999999995E-2</v>
      </c>
      <c r="I19" s="23"/>
    </row>
    <row r="20" spans="1:9" ht="12.9" customHeight="1">
      <c r="A20" s="17" t="s">
        <v>1310</v>
      </c>
      <c r="B20" s="18" t="s">
        <v>1311</v>
      </c>
      <c r="C20" s="14" t="s">
        <v>1312</v>
      </c>
      <c r="D20" s="14" t="s">
        <v>353</v>
      </c>
      <c r="E20" s="19">
        <v>150</v>
      </c>
      <c r="F20" s="20">
        <v>1561.635</v>
      </c>
      <c r="G20" s="21">
        <v>1.32E-2</v>
      </c>
      <c r="H20" s="22">
        <v>6.8037E-2</v>
      </c>
      <c r="I20" s="23"/>
    </row>
    <row r="21" spans="1:9" ht="12.9" customHeight="1">
      <c r="A21" s="17" t="s">
        <v>1026</v>
      </c>
      <c r="B21" s="18" t="s">
        <v>1027</v>
      </c>
      <c r="C21" s="14" t="s">
        <v>1028</v>
      </c>
      <c r="D21" s="14" t="s">
        <v>109</v>
      </c>
      <c r="E21" s="19">
        <v>150</v>
      </c>
      <c r="F21" s="20">
        <v>1559.7465</v>
      </c>
      <c r="G21" s="21">
        <v>1.32E-2</v>
      </c>
      <c r="H21" s="22">
        <v>6.9400000000000003E-2</v>
      </c>
      <c r="I21" s="23"/>
    </row>
    <row r="22" spans="1:9" ht="12.9" customHeight="1">
      <c r="A22" s="17" t="s">
        <v>436</v>
      </c>
      <c r="B22" s="18" t="s">
        <v>437</v>
      </c>
      <c r="C22" s="14" t="s">
        <v>438</v>
      </c>
      <c r="D22" s="14" t="s">
        <v>109</v>
      </c>
      <c r="E22" s="19">
        <v>150</v>
      </c>
      <c r="F22" s="20">
        <v>1555.356</v>
      </c>
      <c r="G22" s="21">
        <v>1.32E-2</v>
      </c>
      <c r="H22" s="22">
        <v>6.9400000000000003E-2</v>
      </c>
      <c r="I22" s="23"/>
    </row>
    <row r="23" spans="1:9" ht="12.9" customHeight="1">
      <c r="A23" s="17" t="s">
        <v>1188</v>
      </c>
      <c r="B23" s="18" t="s">
        <v>1189</v>
      </c>
      <c r="C23" s="14" t="s">
        <v>1190</v>
      </c>
      <c r="D23" s="14" t="s">
        <v>84</v>
      </c>
      <c r="E23" s="19">
        <v>1500000</v>
      </c>
      <c r="F23" s="20">
        <v>1551.732</v>
      </c>
      <c r="G23" s="21">
        <v>1.3100000000000001E-2</v>
      </c>
      <c r="H23" s="22">
        <v>6.7199999999999996E-2</v>
      </c>
      <c r="I23" s="23"/>
    </row>
    <row r="24" spans="1:9" ht="12.9" customHeight="1">
      <c r="A24" s="17" t="s">
        <v>1313</v>
      </c>
      <c r="B24" s="18" t="s">
        <v>1314</v>
      </c>
      <c r="C24" s="14" t="s">
        <v>1315</v>
      </c>
      <c r="D24" s="14" t="s">
        <v>109</v>
      </c>
      <c r="E24" s="19">
        <v>150</v>
      </c>
      <c r="F24" s="20">
        <v>1544.49</v>
      </c>
      <c r="G24" s="21">
        <v>1.3100000000000001E-2</v>
      </c>
      <c r="H24" s="22">
        <v>7.1749999999999994E-2</v>
      </c>
      <c r="I24" s="23"/>
    </row>
    <row r="25" spans="1:9" ht="12.9" customHeight="1">
      <c r="A25" s="17" t="s">
        <v>1316</v>
      </c>
      <c r="B25" s="18" t="s">
        <v>1317</v>
      </c>
      <c r="C25" s="14" t="s">
        <v>1318</v>
      </c>
      <c r="D25" s="14" t="s">
        <v>84</v>
      </c>
      <c r="E25" s="19">
        <v>1500000</v>
      </c>
      <c r="F25" s="20">
        <v>1514.673</v>
      </c>
      <c r="G25" s="21">
        <v>1.2800000000000001E-2</v>
      </c>
      <c r="H25" s="22">
        <v>7.4299000000000004E-2</v>
      </c>
      <c r="I25" s="23"/>
    </row>
    <row r="26" spans="1:9" ht="12.9" customHeight="1">
      <c r="A26" s="17" t="s">
        <v>1319</v>
      </c>
      <c r="B26" s="18" t="s">
        <v>1320</v>
      </c>
      <c r="C26" s="14" t="s">
        <v>1321</v>
      </c>
      <c r="D26" s="14" t="s">
        <v>84</v>
      </c>
      <c r="E26" s="19">
        <v>1500000</v>
      </c>
      <c r="F26" s="20">
        <v>1512.4079999999999</v>
      </c>
      <c r="G26" s="21">
        <v>1.2800000000000001E-2</v>
      </c>
      <c r="H26" s="22">
        <v>7.4663999999999994E-2</v>
      </c>
      <c r="I26" s="23"/>
    </row>
    <row r="27" spans="1:9" ht="12.9" customHeight="1">
      <c r="A27" s="17" t="s">
        <v>1322</v>
      </c>
      <c r="B27" s="18" t="s">
        <v>1323</v>
      </c>
      <c r="C27" s="14" t="s">
        <v>1324</v>
      </c>
      <c r="D27" s="14" t="s">
        <v>84</v>
      </c>
      <c r="E27" s="19">
        <v>1000000</v>
      </c>
      <c r="F27" s="20">
        <v>1052.498</v>
      </c>
      <c r="G27" s="21">
        <v>8.8999999999999999E-3</v>
      </c>
      <c r="H27" s="22">
        <v>6.9440000000000002E-2</v>
      </c>
      <c r="I27" s="23"/>
    </row>
    <row r="28" spans="1:9" ht="12.9" customHeight="1">
      <c r="A28" s="17" t="s">
        <v>1325</v>
      </c>
      <c r="B28" s="18" t="s">
        <v>1326</v>
      </c>
      <c r="C28" s="14" t="s">
        <v>1327</v>
      </c>
      <c r="D28" s="14" t="s">
        <v>109</v>
      </c>
      <c r="E28" s="19">
        <v>100</v>
      </c>
      <c r="F28" s="20">
        <v>1042.3209999999999</v>
      </c>
      <c r="G28" s="21">
        <v>8.8000000000000005E-3</v>
      </c>
      <c r="H28" s="22">
        <v>7.0949999999999999E-2</v>
      </c>
      <c r="I28" s="23"/>
    </row>
    <row r="29" spans="1:9" ht="12.9" customHeight="1">
      <c r="A29" s="17" t="s">
        <v>807</v>
      </c>
      <c r="B29" s="18" t="s">
        <v>808</v>
      </c>
      <c r="C29" s="14" t="s">
        <v>809</v>
      </c>
      <c r="D29" s="14" t="s">
        <v>84</v>
      </c>
      <c r="E29" s="19">
        <v>1000000</v>
      </c>
      <c r="F29" s="20">
        <v>1039.3510000000001</v>
      </c>
      <c r="G29" s="21">
        <v>8.8000000000000005E-3</v>
      </c>
      <c r="H29" s="22">
        <v>7.4002999999999999E-2</v>
      </c>
      <c r="I29" s="23"/>
    </row>
    <row r="30" spans="1:9" ht="12.9" customHeight="1">
      <c r="A30" s="17" t="s">
        <v>1328</v>
      </c>
      <c r="B30" s="18" t="s">
        <v>1329</v>
      </c>
      <c r="C30" s="14" t="s">
        <v>1330</v>
      </c>
      <c r="D30" s="14" t="s">
        <v>84</v>
      </c>
      <c r="E30" s="19">
        <v>1000000</v>
      </c>
      <c r="F30" s="20">
        <v>1029.3579999999999</v>
      </c>
      <c r="G30" s="21">
        <v>8.6999999999999994E-3</v>
      </c>
      <c r="H30" s="22">
        <v>7.4299000000000004E-2</v>
      </c>
      <c r="I30" s="23"/>
    </row>
    <row r="31" spans="1:9" ht="12.9" customHeight="1">
      <c r="A31" s="17" t="s">
        <v>1331</v>
      </c>
      <c r="B31" s="18" t="s">
        <v>1332</v>
      </c>
      <c r="C31" s="14" t="s">
        <v>1333</v>
      </c>
      <c r="D31" s="14" t="s">
        <v>84</v>
      </c>
      <c r="E31" s="19">
        <v>1000000</v>
      </c>
      <c r="F31" s="20">
        <v>1024.498</v>
      </c>
      <c r="G31" s="21">
        <v>8.6999999999999994E-3</v>
      </c>
      <c r="H31" s="22">
        <v>7.4299000000000004E-2</v>
      </c>
      <c r="I31" s="23"/>
    </row>
    <row r="32" spans="1:9" ht="12.9" customHeight="1">
      <c r="A32" s="17" t="s">
        <v>1334</v>
      </c>
      <c r="B32" s="18" t="s">
        <v>1335</v>
      </c>
      <c r="C32" s="14" t="s">
        <v>1336</v>
      </c>
      <c r="D32" s="14" t="s">
        <v>84</v>
      </c>
      <c r="E32" s="19">
        <v>1000000</v>
      </c>
      <c r="F32" s="20">
        <v>1007.071</v>
      </c>
      <c r="G32" s="21">
        <v>8.5000000000000006E-3</v>
      </c>
      <c r="H32" s="22">
        <v>7.4299000000000004E-2</v>
      </c>
      <c r="I32" s="23"/>
    </row>
    <row r="33" spans="1:9" ht="12.9" customHeight="1">
      <c r="A33" s="17" t="s">
        <v>1337</v>
      </c>
      <c r="B33" s="18" t="s">
        <v>1338</v>
      </c>
      <c r="C33" s="14" t="s">
        <v>1339</v>
      </c>
      <c r="D33" s="14" t="s">
        <v>109</v>
      </c>
      <c r="E33" s="19">
        <v>100</v>
      </c>
      <c r="F33" s="20">
        <v>1002.245</v>
      </c>
      <c r="G33" s="21">
        <v>8.5000000000000006E-3</v>
      </c>
      <c r="H33" s="22">
        <v>6.9698999999999997E-2</v>
      </c>
      <c r="I33" s="23"/>
    </row>
    <row r="34" spans="1:9" ht="12.9" customHeight="1">
      <c r="A34" s="17" t="s">
        <v>1340</v>
      </c>
      <c r="B34" s="18" t="s">
        <v>1341</v>
      </c>
      <c r="C34" s="14" t="s">
        <v>1342</v>
      </c>
      <c r="D34" s="14" t="s">
        <v>109</v>
      </c>
      <c r="E34" s="19">
        <v>100</v>
      </c>
      <c r="F34" s="20">
        <v>983.06700000000001</v>
      </c>
      <c r="G34" s="21">
        <v>8.3000000000000001E-3</v>
      </c>
      <c r="H34" s="22">
        <v>7.2599999999999998E-2</v>
      </c>
      <c r="I34" s="23"/>
    </row>
    <row r="35" spans="1:9" ht="12.9" customHeight="1">
      <c r="A35" s="17" t="s">
        <v>1343</v>
      </c>
      <c r="B35" s="18" t="s">
        <v>1344</v>
      </c>
      <c r="C35" s="14" t="s">
        <v>1345</v>
      </c>
      <c r="D35" s="14" t="s">
        <v>372</v>
      </c>
      <c r="E35" s="19">
        <v>1000</v>
      </c>
      <c r="F35" s="20">
        <v>966.49300000000005</v>
      </c>
      <c r="G35" s="21">
        <v>8.2000000000000007E-3</v>
      </c>
      <c r="H35" s="22">
        <v>7.2749999999999995E-2</v>
      </c>
      <c r="I35" s="23"/>
    </row>
    <row r="36" spans="1:9" ht="12.9" customHeight="1">
      <c r="A36" s="17" t="s">
        <v>1346</v>
      </c>
      <c r="B36" s="18" t="s">
        <v>1347</v>
      </c>
      <c r="C36" s="14" t="s">
        <v>1348</v>
      </c>
      <c r="D36" s="14" t="s">
        <v>109</v>
      </c>
      <c r="E36" s="19">
        <v>88</v>
      </c>
      <c r="F36" s="20">
        <v>920.08050000000003</v>
      </c>
      <c r="G36" s="21">
        <v>7.7999999999999996E-3</v>
      </c>
      <c r="H36" s="22">
        <v>6.8174999999999999E-2</v>
      </c>
      <c r="I36" s="23"/>
    </row>
    <row r="37" spans="1:9" ht="12.9" customHeight="1">
      <c r="A37" s="17" t="s">
        <v>1349</v>
      </c>
      <c r="B37" s="18" t="s">
        <v>1350</v>
      </c>
      <c r="C37" s="14" t="s">
        <v>1351</v>
      </c>
      <c r="D37" s="14" t="s">
        <v>109</v>
      </c>
      <c r="E37" s="19">
        <v>90</v>
      </c>
      <c r="F37" s="20">
        <v>907.50059999999996</v>
      </c>
      <c r="G37" s="21">
        <v>7.7000000000000002E-3</v>
      </c>
      <c r="H37" s="22">
        <v>7.2749999999999995E-2</v>
      </c>
      <c r="I37" s="23"/>
    </row>
    <row r="38" spans="1:9" ht="12.9" customHeight="1">
      <c r="A38" s="17" t="s">
        <v>1352</v>
      </c>
      <c r="B38" s="18" t="s">
        <v>1353</v>
      </c>
      <c r="C38" s="14" t="s">
        <v>1354</v>
      </c>
      <c r="D38" s="14" t="s">
        <v>109</v>
      </c>
      <c r="E38" s="19">
        <v>50</v>
      </c>
      <c r="F38" s="20">
        <v>527.18949999999995</v>
      </c>
      <c r="G38" s="21">
        <v>4.4999999999999997E-3</v>
      </c>
      <c r="H38" s="22">
        <v>6.93E-2</v>
      </c>
      <c r="I38" s="23"/>
    </row>
    <row r="39" spans="1:9" ht="12.9" customHeight="1">
      <c r="A39" s="17" t="s">
        <v>1355</v>
      </c>
      <c r="B39" s="18" t="s">
        <v>1356</v>
      </c>
      <c r="C39" s="14" t="s">
        <v>1357</v>
      </c>
      <c r="D39" s="14" t="s">
        <v>109</v>
      </c>
      <c r="E39" s="19">
        <v>50</v>
      </c>
      <c r="F39" s="20">
        <v>523.50400000000002</v>
      </c>
      <c r="G39" s="21">
        <v>4.4000000000000003E-3</v>
      </c>
      <c r="H39" s="22">
        <v>6.9500000000000006E-2</v>
      </c>
      <c r="I39" s="23"/>
    </row>
    <row r="40" spans="1:9" ht="12.9" customHeight="1">
      <c r="A40" s="17" t="s">
        <v>1358</v>
      </c>
      <c r="B40" s="18" t="s">
        <v>1359</v>
      </c>
      <c r="C40" s="14" t="s">
        <v>1360</v>
      </c>
      <c r="D40" s="14" t="s">
        <v>109</v>
      </c>
      <c r="E40" s="19">
        <v>50</v>
      </c>
      <c r="F40" s="20">
        <v>520.44349999999997</v>
      </c>
      <c r="G40" s="21">
        <v>4.4000000000000003E-3</v>
      </c>
      <c r="H40" s="22">
        <v>6.8174999999999999E-2</v>
      </c>
      <c r="I40" s="23"/>
    </row>
    <row r="41" spans="1:9" ht="12.9" customHeight="1">
      <c r="A41" s="17" t="s">
        <v>1361</v>
      </c>
      <c r="B41" s="18" t="s">
        <v>1362</v>
      </c>
      <c r="C41" s="14" t="s">
        <v>1363</v>
      </c>
      <c r="D41" s="14" t="s">
        <v>109</v>
      </c>
      <c r="E41" s="19">
        <v>50</v>
      </c>
      <c r="F41" s="20">
        <v>520.11350000000004</v>
      </c>
      <c r="G41" s="21">
        <v>4.4000000000000003E-3</v>
      </c>
      <c r="H41" s="22">
        <v>7.1099999999999997E-2</v>
      </c>
      <c r="I41" s="23"/>
    </row>
    <row r="42" spans="1:9" ht="12.9" customHeight="1">
      <c r="A42" s="17" t="s">
        <v>1364</v>
      </c>
      <c r="B42" s="18" t="s">
        <v>1365</v>
      </c>
      <c r="C42" s="14" t="s">
        <v>1366</v>
      </c>
      <c r="D42" s="14" t="s">
        <v>109</v>
      </c>
      <c r="E42" s="19">
        <v>50</v>
      </c>
      <c r="F42" s="20">
        <v>518.97249999999997</v>
      </c>
      <c r="G42" s="21">
        <v>4.4000000000000003E-3</v>
      </c>
      <c r="H42" s="22">
        <v>6.9500000000000006E-2</v>
      </c>
      <c r="I42" s="23"/>
    </row>
    <row r="43" spans="1:9" ht="12.9" customHeight="1">
      <c r="A43" s="17" t="s">
        <v>1367</v>
      </c>
      <c r="B43" s="18" t="s">
        <v>1368</v>
      </c>
      <c r="C43" s="14" t="s">
        <v>1369</v>
      </c>
      <c r="D43" s="14" t="s">
        <v>109</v>
      </c>
      <c r="E43" s="19">
        <v>50</v>
      </c>
      <c r="F43" s="20">
        <v>514.76599999999996</v>
      </c>
      <c r="G43" s="21">
        <v>4.4000000000000003E-3</v>
      </c>
      <c r="H43" s="22">
        <v>7.1349999999999997E-2</v>
      </c>
      <c r="I43" s="23"/>
    </row>
    <row r="44" spans="1:9" ht="12.9" customHeight="1">
      <c r="A44" s="17" t="s">
        <v>1370</v>
      </c>
      <c r="B44" s="18" t="s">
        <v>1371</v>
      </c>
      <c r="C44" s="14" t="s">
        <v>1372</v>
      </c>
      <c r="D44" s="14" t="s">
        <v>109</v>
      </c>
      <c r="E44" s="19">
        <v>50</v>
      </c>
      <c r="F44" s="20">
        <v>514.1155</v>
      </c>
      <c r="G44" s="21">
        <v>4.4000000000000003E-3</v>
      </c>
      <c r="H44" s="22">
        <v>7.0400000000000004E-2</v>
      </c>
      <c r="I44" s="23"/>
    </row>
    <row r="45" spans="1:9" ht="12.9" customHeight="1">
      <c r="A45" s="17" t="s">
        <v>1373</v>
      </c>
      <c r="B45" s="18" t="s">
        <v>1374</v>
      </c>
      <c r="C45" s="14" t="s">
        <v>1375</v>
      </c>
      <c r="D45" s="14" t="s">
        <v>372</v>
      </c>
      <c r="E45" s="19">
        <v>250</v>
      </c>
      <c r="F45" s="20">
        <v>510.32350000000002</v>
      </c>
      <c r="G45" s="21">
        <v>4.3E-3</v>
      </c>
      <c r="H45" s="22">
        <v>6.8537000000000001E-2</v>
      </c>
      <c r="I45" s="23"/>
    </row>
    <row r="46" spans="1:9" ht="12.9" customHeight="1">
      <c r="A46" s="17" t="s">
        <v>1376</v>
      </c>
      <c r="B46" s="18" t="s">
        <v>1377</v>
      </c>
      <c r="C46" s="14" t="s">
        <v>1378</v>
      </c>
      <c r="D46" s="14" t="s">
        <v>109</v>
      </c>
      <c r="E46" s="19">
        <v>50</v>
      </c>
      <c r="F46" s="20">
        <v>510.19850000000002</v>
      </c>
      <c r="G46" s="21">
        <v>4.3E-3</v>
      </c>
      <c r="H46" s="22">
        <v>6.8174999999999999E-2</v>
      </c>
      <c r="I46" s="23"/>
    </row>
    <row r="47" spans="1:9" ht="12.9" customHeight="1">
      <c r="A47" s="17" t="s">
        <v>1379</v>
      </c>
      <c r="B47" s="18" t="s">
        <v>1380</v>
      </c>
      <c r="C47" s="14" t="s">
        <v>1381</v>
      </c>
      <c r="D47" s="14" t="s">
        <v>372</v>
      </c>
      <c r="E47" s="19">
        <v>250</v>
      </c>
      <c r="F47" s="20">
        <v>507.46249999999998</v>
      </c>
      <c r="G47" s="21">
        <v>4.3E-3</v>
      </c>
      <c r="H47" s="22">
        <v>6.5754999999999994E-2</v>
      </c>
      <c r="I47" s="23"/>
    </row>
    <row r="48" spans="1:9" ht="12.9" customHeight="1">
      <c r="A48" s="17" t="s">
        <v>1382</v>
      </c>
      <c r="B48" s="18" t="s">
        <v>1383</v>
      </c>
      <c r="C48" s="14" t="s">
        <v>1384</v>
      </c>
      <c r="D48" s="14" t="s">
        <v>109</v>
      </c>
      <c r="E48" s="19">
        <v>50</v>
      </c>
      <c r="F48" s="20">
        <v>506.48849999999999</v>
      </c>
      <c r="G48" s="21">
        <v>4.3E-3</v>
      </c>
      <c r="H48" s="22">
        <v>7.0300000000000001E-2</v>
      </c>
      <c r="I48" s="23"/>
    </row>
    <row r="49" spans="1:9" ht="12.9" customHeight="1">
      <c r="A49" s="17" t="s">
        <v>1385</v>
      </c>
      <c r="B49" s="18" t="s">
        <v>1386</v>
      </c>
      <c r="C49" s="14" t="s">
        <v>1387</v>
      </c>
      <c r="D49" s="14" t="s">
        <v>372</v>
      </c>
      <c r="E49" s="19">
        <v>50</v>
      </c>
      <c r="F49" s="20">
        <v>500.37700000000001</v>
      </c>
      <c r="G49" s="21">
        <v>4.1999999999999997E-3</v>
      </c>
      <c r="H49" s="22">
        <v>7.0699999999999999E-2</v>
      </c>
      <c r="I49" s="23"/>
    </row>
    <row r="50" spans="1:9" ht="12.9" customHeight="1">
      <c r="A50" s="17" t="s">
        <v>900</v>
      </c>
      <c r="B50" s="18" t="s">
        <v>901</v>
      </c>
      <c r="C50" s="14" t="s">
        <v>902</v>
      </c>
      <c r="D50" s="14" t="s">
        <v>109</v>
      </c>
      <c r="E50" s="19">
        <v>50</v>
      </c>
      <c r="F50" s="20">
        <v>492.3005</v>
      </c>
      <c r="G50" s="21">
        <v>4.1999999999999997E-3</v>
      </c>
      <c r="H50" s="22">
        <v>7.0171999999999998E-2</v>
      </c>
      <c r="I50" s="41">
        <v>7.0850067000000003E-2</v>
      </c>
    </row>
    <row r="51" spans="1:9" ht="12.9" customHeight="1">
      <c r="A51" s="17" t="s">
        <v>1388</v>
      </c>
      <c r="B51" s="18" t="s">
        <v>1389</v>
      </c>
      <c r="C51" s="14" t="s">
        <v>1390</v>
      </c>
      <c r="D51" s="14" t="s">
        <v>109</v>
      </c>
      <c r="E51" s="19">
        <v>40</v>
      </c>
      <c r="F51" s="20">
        <v>417.43119999999999</v>
      </c>
      <c r="G51" s="21">
        <v>3.5000000000000001E-3</v>
      </c>
      <c r="H51" s="22">
        <v>6.9361999999999993E-2</v>
      </c>
      <c r="I51" s="41"/>
    </row>
    <row r="52" spans="1:9" ht="12.9" customHeight="1">
      <c r="A52" s="17" t="s">
        <v>1391</v>
      </c>
      <c r="B52" s="18" t="s">
        <v>1392</v>
      </c>
      <c r="C52" s="14" t="s">
        <v>1393</v>
      </c>
      <c r="D52" s="14" t="s">
        <v>84</v>
      </c>
      <c r="E52" s="19">
        <v>400000</v>
      </c>
      <c r="F52" s="20">
        <v>413.55959999999999</v>
      </c>
      <c r="G52" s="21">
        <v>3.5000000000000001E-3</v>
      </c>
      <c r="H52" s="22">
        <v>6.0503000000000001E-2</v>
      </c>
      <c r="I52" s="41"/>
    </row>
    <row r="53" spans="1:9" ht="12.9" customHeight="1">
      <c r="A53" s="17" t="s">
        <v>1394</v>
      </c>
      <c r="B53" s="18" t="s">
        <v>1395</v>
      </c>
      <c r="C53" s="14" t="s">
        <v>1396</v>
      </c>
      <c r="D53" s="14" t="s">
        <v>84</v>
      </c>
      <c r="E53" s="19">
        <v>394100</v>
      </c>
      <c r="F53" s="20">
        <v>392.16579999999999</v>
      </c>
      <c r="G53" s="21">
        <v>3.3E-3</v>
      </c>
      <c r="H53" s="22">
        <v>6.8616999999999997E-2</v>
      </c>
      <c r="I53" s="41"/>
    </row>
    <row r="54" spans="1:9" ht="12.9" customHeight="1">
      <c r="A54" s="17" t="s">
        <v>1397</v>
      </c>
      <c r="B54" s="18" t="s">
        <v>1398</v>
      </c>
      <c r="C54" s="14" t="s">
        <v>1399</v>
      </c>
      <c r="D54" s="14" t="s">
        <v>84</v>
      </c>
      <c r="E54" s="19">
        <v>364800</v>
      </c>
      <c r="F54" s="20">
        <v>361.13229999999999</v>
      </c>
      <c r="G54" s="21">
        <v>3.0999999999999999E-3</v>
      </c>
      <c r="H54" s="22">
        <v>6.8616999999999997E-2</v>
      </c>
      <c r="I54" s="41"/>
    </row>
    <row r="55" spans="1:9" ht="12.9" customHeight="1">
      <c r="A55" s="17" t="s">
        <v>1400</v>
      </c>
      <c r="B55" s="18" t="s">
        <v>1401</v>
      </c>
      <c r="C55" s="14" t="s">
        <v>1402</v>
      </c>
      <c r="D55" s="14" t="s">
        <v>109</v>
      </c>
      <c r="E55" s="19">
        <v>25</v>
      </c>
      <c r="F55" s="20">
        <v>287.83749999999998</v>
      </c>
      <c r="G55" s="21">
        <v>2.3999999999999998E-3</v>
      </c>
      <c r="H55" s="22">
        <v>7.4107999999999993E-2</v>
      </c>
      <c r="I55" s="41"/>
    </row>
    <row r="56" spans="1:9" ht="12.9" customHeight="1">
      <c r="A56" s="17" t="s">
        <v>1403</v>
      </c>
      <c r="B56" s="18" t="s">
        <v>1404</v>
      </c>
      <c r="C56" s="14" t="s">
        <v>1405</v>
      </c>
      <c r="D56" s="14" t="s">
        <v>84</v>
      </c>
      <c r="E56" s="19">
        <v>120300</v>
      </c>
      <c r="F56" s="20">
        <v>121.6477</v>
      </c>
      <c r="G56" s="21">
        <v>1E-3</v>
      </c>
      <c r="H56" s="22">
        <v>6.8420999999999996E-2</v>
      </c>
      <c r="I56" s="41"/>
    </row>
    <row r="57" spans="1:9" ht="12.9" customHeight="1">
      <c r="A57" s="17" t="s">
        <v>916</v>
      </c>
      <c r="B57" s="18" t="s">
        <v>917</v>
      </c>
      <c r="C57" s="14" t="s">
        <v>918</v>
      </c>
      <c r="D57" s="14" t="s">
        <v>84</v>
      </c>
      <c r="E57" s="19">
        <v>100000</v>
      </c>
      <c r="F57" s="20">
        <v>96.891000000000005</v>
      </c>
      <c r="G57" s="21">
        <v>8.0000000000000004E-4</v>
      </c>
      <c r="H57" s="22">
        <v>6.7737000000000006E-2</v>
      </c>
      <c r="I57" s="41"/>
    </row>
    <row r="58" spans="1:9" ht="12.9" customHeight="1">
      <c r="A58" s="17" t="s">
        <v>1149</v>
      </c>
      <c r="B58" s="18" t="s">
        <v>1150</v>
      </c>
      <c r="C58" s="14" t="s">
        <v>1151</v>
      </c>
      <c r="D58" s="14" t="s">
        <v>84</v>
      </c>
      <c r="E58" s="19">
        <v>36700</v>
      </c>
      <c r="F58" s="20">
        <v>36.4178</v>
      </c>
      <c r="G58" s="21">
        <v>2.9999999999999997E-4</v>
      </c>
      <c r="H58" s="22">
        <v>7.4357999999999994E-2</v>
      </c>
      <c r="I58" s="41"/>
    </row>
    <row r="59" spans="1:9" ht="12.9" customHeight="1">
      <c r="A59" s="17" t="s">
        <v>1406</v>
      </c>
      <c r="B59" s="18" t="s">
        <v>1407</v>
      </c>
      <c r="C59" s="14" t="s">
        <v>1408</v>
      </c>
      <c r="D59" s="14" t="s">
        <v>84</v>
      </c>
      <c r="E59" s="19">
        <v>30000</v>
      </c>
      <c r="F59" s="20">
        <v>31.895499999999998</v>
      </c>
      <c r="G59" s="21">
        <v>2.9999999999999997E-4</v>
      </c>
      <c r="H59" s="22">
        <v>5.8902999999999997E-2</v>
      </c>
      <c r="I59" s="41"/>
    </row>
    <row r="60" spans="1:9" ht="12.9" customHeight="1">
      <c r="A60" s="5"/>
      <c r="B60" s="13" t="s">
        <v>88</v>
      </c>
      <c r="C60" s="14"/>
      <c r="D60" s="14"/>
      <c r="E60" s="14"/>
      <c r="F60" s="24">
        <v>98627.436000000002</v>
      </c>
      <c r="G60" s="25">
        <v>0.83460000000000001</v>
      </c>
      <c r="H60" s="26"/>
      <c r="I60" s="27"/>
    </row>
    <row r="61" spans="1:9" ht="12.9" customHeight="1">
      <c r="A61" s="5"/>
      <c r="B61" s="28" t="s">
        <v>89</v>
      </c>
      <c r="C61" s="2"/>
      <c r="D61" s="2"/>
      <c r="E61" s="2"/>
      <c r="F61" s="26" t="s">
        <v>90</v>
      </c>
      <c r="G61" s="26" t="s">
        <v>90</v>
      </c>
      <c r="H61" s="26"/>
      <c r="I61" s="27"/>
    </row>
    <row r="62" spans="1:9" ht="12.9" customHeight="1">
      <c r="A62" s="5"/>
      <c r="B62" s="28" t="s">
        <v>88</v>
      </c>
      <c r="C62" s="2"/>
      <c r="D62" s="2"/>
      <c r="E62" s="2"/>
      <c r="F62" s="26" t="s">
        <v>90</v>
      </c>
      <c r="G62" s="26" t="s">
        <v>90</v>
      </c>
      <c r="H62" s="26"/>
      <c r="I62" s="27"/>
    </row>
    <row r="63" spans="1:9" ht="12.9" customHeight="1">
      <c r="A63" s="5"/>
      <c r="B63" s="13" t="s">
        <v>751</v>
      </c>
      <c r="C63" s="14"/>
      <c r="D63" s="14"/>
      <c r="E63" s="14"/>
      <c r="F63" s="5"/>
      <c r="G63" s="15"/>
      <c r="H63" s="15"/>
      <c r="I63" s="16"/>
    </row>
    <row r="64" spans="1:9" ht="12.9" customHeight="1">
      <c r="A64" s="17" t="s">
        <v>752</v>
      </c>
      <c r="B64" s="18" t="s">
        <v>753</v>
      </c>
      <c r="C64" s="14" t="s">
        <v>754</v>
      </c>
      <c r="D64" s="14" t="s">
        <v>755</v>
      </c>
      <c r="E64" s="19">
        <v>11</v>
      </c>
      <c r="F64" s="20">
        <v>1111.9434000000001</v>
      </c>
      <c r="G64" s="21">
        <v>9.4000000000000004E-3</v>
      </c>
      <c r="H64" s="22">
        <v>7.3596999999999996E-2</v>
      </c>
      <c r="I64" s="41"/>
    </row>
    <row r="65" spans="1:9" ht="12.9" customHeight="1">
      <c r="A65" s="17" t="s">
        <v>756</v>
      </c>
      <c r="B65" s="18" t="s">
        <v>757</v>
      </c>
      <c r="C65" s="14" t="s">
        <v>758</v>
      </c>
      <c r="D65" s="14" t="s">
        <v>755</v>
      </c>
      <c r="E65" s="19">
        <v>11</v>
      </c>
      <c r="F65" s="20">
        <v>1111.6604</v>
      </c>
      <c r="G65" s="21">
        <v>9.4000000000000004E-3</v>
      </c>
      <c r="H65" s="22">
        <v>7.4996999999999994E-2</v>
      </c>
      <c r="I65" s="41"/>
    </row>
    <row r="66" spans="1:9" ht="12.9" customHeight="1">
      <c r="A66" s="17" t="s">
        <v>759</v>
      </c>
      <c r="B66" s="18" t="s">
        <v>760</v>
      </c>
      <c r="C66" s="14" t="s">
        <v>761</v>
      </c>
      <c r="D66" s="14" t="s">
        <v>755</v>
      </c>
      <c r="E66" s="19">
        <v>8</v>
      </c>
      <c r="F66" s="20">
        <v>806.08259999999996</v>
      </c>
      <c r="G66" s="21">
        <v>6.7999999999999996E-3</v>
      </c>
      <c r="H66" s="22">
        <v>7.3246000000000006E-2</v>
      </c>
      <c r="I66" s="41"/>
    </row>
    <row r="67" spans="1:9" ht="12.9" customHeight="1">
      <c r="A67" s="5"/>
      <c r="B67" s="13" t="s">
        <v>88</v>
      </c>
      <c r="C67" s="14"/>
      <c r="D67" s="14"/>
      <c r="E67" s="14"/>
      <c r="F67" s="24">
        <v>3029.6862999999998</v>
      </c>
      <c r="G67" s="25">
        <v>2.5600000000000001E-2</v>
      </c>
      <c r="H67" s="26"/>
      <c r="I67" s="27"/>
    </row>
    <row r="68" spans="1:9" ht="12.9" customHeight="1">
      <c r="A68" s="5"/>
      <c r="B68" s="28" t="s">
        <v>91</v>
      </c>
      <c r="C68" s="29"/>
      <c r="D68" s="2"/>
      <c r="E68" s="29"/>
      <c r="F68" s="24">
        <v>101657.1223</v>
      </c>
      <c r="G68" s="25">
        <v>0.86029999999999995</v>
      </c>
      <c r="H68" s="26"/>
      <c r="I68" s="27"/>
    </row>
    <row r="69" spans="1:9" ht="12.9" customHeight="1">
      <c r="A69" s="5"/>
      <c r="B69" s="13" t="s">
        <v>285</v>
      </c>
      <c r="C69" s="14"/>
      <c r="D69" s="14"/>
      <c r="E69" s="14"/>
      <c r="F69" s="14"/>
      <c r="G69" s="14"/>
      <c r="H69" s="15"/>
      <c r="I69" s="16"/>
    </row>
    <row r="70" spans="1:9" ht="12.9" customHeight="1">
      <c r="A70" s="5"/>
      <c r="B70" s="13" t="s">
        <v>789</v>
      </c>
      <c r="C70" s="14"/>
      <c r="D70" s="14"/>
      <c r="E70" s="14"/>
      <c r="F70" s="5"/>
      <c r="G70" s="15"/>
      <c r="H70" s="15"/>
      <c r="I70" s="16"/>
    </row>
    <row r="71" spans="1:9" ht="12.9" customHeight="1">
      <c r="A71" s="17" t="s">
        <v>790</v>
      </c>
      <c r="B71" s="18" t="s">
        <v>791</v>
      </c>
      <c r="C71" s="14" t="s">
        <v>792</v>
      </c>
      <c r="D71" s="14"/>
      <c r="E71" s="19">
        <v>4323.366</v>
      </c>
      <c r="F71" s="20">
        <v>498.00880000000001</v>
      </c>
      <c r="G71" s="21">
        <v>4.1999999999999997E-3</v>
      </c>
      <c r="H71" s="22"/>
      <c r="I71" s="41"/>
    </row>
    <row r="72" spans="1:9" ht="12.9" customHeight="1">
      <c r="A72" s="5"/>
      <c r="B72" s="13" t="s">
        <v>88</v>
      </c>
      <c r="C72" s="14"/>
      <c r="D72" s="14"/>
      <c r="E72" s="14"/>
      <c r="F72" s="24">
        <v>498.00880000000001</v>
      </c>
      <c r="G72" s="25">
        <v>4.1999999999999997E-3</v>
      </c>
      <c r="H72" s="26"/>
      <c r="I72" s="27"/>
    </row>
    <row r="73" spans="1:9" ht="12.9" customHeight="1">
      <c r="A73" s="5"/>
      <c r="B73" s="28" t="s">
        <v>91</v>
      </c>
      <c r="C73" s="29"/>
      <c r="D73" s="2"/>
      <c r="E73" s="29"/>
      <c r="F73" s="24">
        <v>498.00880000000001</v>
      </c>
      <c r="G73" s="25">
        <v>4.1999999999999997E-3</v>
      </c>
      <c r="H73" s="26"/>
      <c r="I73" s="27"/>
    </row>
    <row r="74" spans="1:9" ht="12.9" customHeight="1">
      <c r="A74" s="5"/>
      <c r="B74" s="13" t="s">
        <v>92</v>
      </c>
      <c r="C74" s="14"/>
      <c r="D74" s="14"/>
      <c r="E74" s="14"/>
      <c r="F74" s="14"/>
      <c r="G74" s="14"/>
      <c r="H74" s="15"/>
      <c r="I74" s="16"/>
    </row>
    <row r="75" spans="1:9" ht="12.9" customHeight="1">
      <c r="A75" s="17" t="s">
        <v>93</v>
      </c>
      <c r="B75" s="18" t="s">
        <v>94</v>
      </c>
      <c r="C75" s="14"/>
      <c r="D75" s="14"/>
      <c r="E75" s="19"/>
      <c r="F75" s="20">
        <v>16602.009999999998</v>
      </c>
      <c r="G75" s="21">
        <v>0.14050000000000001</v>
      </c>
      <c r="H75" s="22">
        <v>5.0765164132091006E-2</v>
      </c>
      <c r="I75" s="41"/>
    </row>
    <row r="76" spans="1:9" ht="12.9" customHeight="1">
      <c r="A76" s="5"/>
      <c r="B76" s="13" t="s">
        <v>88</v>
      </c>
      <c r="C76" s="14"/>
      <c r="D76" s="14"/>
      <c r="E76" s="14"/>
      <c r="F76" s="24">
        <v>16602.009999999998</v>
      </c>
      <c r="G76" s="25">
        <v>0.14050000000000001</v>
      </c>
      <c r="H76" s="26"/>
      <c r="I76" s="27"/>
    </row>
    <row r="77" spans="1:9" ht="12.9" customHeight="1">
      <c r="A77" s="5"/>
      <c r="B77" s="28" t="s">
        <v>91</v>
      </c>
      <c r="C77" s="29"/>
      <c r="D77" s="2"/>
      <c r="E77" s="29"/>
      <c r="F77" s="24">
        <v>16602.009999999998</v>
      </c>
      <c r="G77" s="25">
        <v>0.14050000000000001</v>
      </c>
      <c r="H77" s="26"/>
      <c r="I77" s="27"/>
    </row>
    <row r="78" spans="1:9" ht="12.9" customHeight="1">
      <c r="A78" s="5"/>
      <c r="B78" s="28" t="s">
        <v>96</v>
      </c>
      <c r="C78" s="14"/>
      <c r="D78" s="2"/>
      <c r="E78" s="14"/>
      <c r="F78" s="31">
        <v>-589.66110000000003</v>
      </c>
      <c r="G78" s="25">
        <v>-5.0000000000000001E-3</v>
      </c>
      <c r="H78" s="26"/>
      <c r="I78" s="27"/>
    </row>
    <row r="79" spans="1:9" ht="12.9" customHeight="1">
      <c r="A79" s="5"/>
      <c r="B79" s="32" t="s">
        <v>97</v>
      </c>
      <c r="C79" s="33"/>
      <c r="D79" s="33"/>
      <c r="E79" s="33"/>
      <c r="F79" s="34">
        <v>118167.48</v>
      </c>
      <c r="G79" s="35">
        <v>1</v>
      </c>
      <c r="H79" s="36"/>
      <c r="I79" s="37"/>
    </row>
    <row r="80" spans="1:9" ht="12.9" customHeight="1">
      <c r="A80" s="5"/>
      <c r="B80" s="7"/>
      <c r="C80" s="5"/>
      <c r="D80" s="5"/>
      <c r="E80" s="5"/>
      <c r="F80" s="5"/>
      <c r="G80" s="5"/>
      <c r="H80" s="5"/>
      <c r="I80" s="5"/>
    </row>
    <row r="81" spans="1:9" ht="12.9" customHeight="1">
      <c r="A81" s="5"/>
      <c r="B81" s="4" t="s">
        <v>146</v>
      </c>
      <c r="C81" s="5"/>
      <c r="D81" s="5"/>
      <c r="E81" s="5"/>
      <c r="F81" s="5"/>
      <c r="G81" s="5"/>
      <c r="H81" s="5"/>
      <c r="I81" s="5"/>
    </row>
    <row r="82" spans="1:9" ht="12.9" customHeight="1">
      <c r="A82" s="5"/>
      <c r="B82" s="4" t="s">
        <v>99</v>
      </c>
      <c r="C82" s="5"/>
      <c r="D82" s="5"/>
      <c r="E82" s="5"/>
      <c r="F82" s="5"/>
      <c r="G82" s="5"/>
      <c r="H82" s="5"/>
      <c r="I82" s="5"/>
    </row>
    <row r="83" spans="1:9" ht="26.1" customHeight="1">
      <c r="A83" s="5"/>
      <c r="B83" s="50" t="s">
        <v>100</v>
      </c>
      <c r="C83" s="50"/>
      <c r="D83" s="50"/>
      <c r="E83" s="50"/>
      <c r="F83" s="50"/>
      <c r="G83" s="50"/>
      <c r="H83" s="50"/>
      <c r="I83" s="50"/>
    </row>
    <row r="84" spans="1:9" ht="12.9" customHeight="1">
      <c r="A84" s="5"/>
      <c r="B84" s="50" t="s">
        <v>101</v>
      </c>
      <c r="C84" s="50"/>
      <c r="D84" s="50"/>
      <c r="E84" s="50"/>
      <c r="F84" s="50"/>
      <c r="G84" s="50"/>
      <c r="H84" s="50"/>
      <c r="I84" s="50"/>
    </row>
    <row r="85" spans="1:9" ht="12.9" customHeight="1">
      <c r="A85" s="5"/>
      <c r="B85" s="50"/>
      <c r="C85" s="50"/>
      <c r="D85" s="50"/>
      <c r="E85" s="50"/>
      <c r="F85" s="50"/>
      <c r="G85" s="50"/>
      <c r="H85" s="50"/>
      <c r="I85" s="50"/>
    </row>
    <row r="86" spans="1:9" ht="12.9" customHeight="1">
      <c r="A86" s="5"/>
      <c r="B86" s="50"/>
      <c r="C86" s="50"/>
      <c r="D86" s="50"/>
      <c r="E86" s="50"/>
      <c r="F86" s="50"/>
      <c r="G86" s="50"/>
      <c r="H86" s="50"/>
      <c r="I86" s="50"/>
    </row>
    <row r="87" spans="1:9" ht="12.9" customHeight="1">
      <c r="A87" s="5"/>
      <c r="B87" s="5"/>
      <c r="C87" s="51" t="s">
        <v>1409</v>
      </c>
      <c r="D87" s="51"/>
      <c r="E87" s="51"/>
      <c r="F87" s="51"/>
      <c r="G87" s="5"/>
      <c r="H87" s="5"/>
      <c r="I87" s="5"/>
    </row>
    <row r="88" spans="1:9" ht="12.9" customHeight="1">
      <c r="A88" s="5"/>
      <c r="B88" s="38" t="s">
        <v>103</v>
      </c>
      <c r="C88" s="51" t="s">
        <v>104</v>
      </c>
      <c r="D88" s="51"/>
      <c r="E88" s="51"/>
      <c r="F88" s="51"/>
      <c r="G88" s="5"/>
      <c r="H88" s="5"/>
      <c r="I88" s="5"/>
    </row>
    <row r="89" spans="1:9" ht="135" customHeight="1">
      <c r="A89" s="5"/>
      <c r="B89" s="39"/>
      <c r="C89" s="52"/>
      <c r="D89" s="52"/>
      <c r="E89" s="5"/>
      <c r="F89" s="5"/>
      <c r="G89" s="5"/>
      <c r="H89" s="5"/>
      <c r="I89" s="5"/>
    </row>
  </sheetData>
  <mergeCells count="7">
    <mergeCell ref="B86:I86"/>
    <mergeCell ref="C87:F87"/>
    <mergeCell ref="C88:F88"/>
    <mergeCell ref="C89:D89"/>
    <mergeCell ref="B83:I83"/>
    <mergeCell ref="B84:I84"/>
    <mergeCell ref="B85:I85"/>
  </mergeCells>
  <hyperlinks>
    <hyperlink ref="A1" location="AxisDynamicBondFund" display="AXISDBF" xr:uid="{00000000-0004-0000-1300-000000000000}"/>
    <hyperlink ref="B1" location="AxisDynamicBondFund" display="Axis Dynamic Bond Fund" xr:uid="{00000000-0004-0000-1300-000001000000}"/>
  </hyperlinks>
  <pageMargins left="0" right="0" top="0" bottom="0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/>
  </sheetPr>
  <dimension ref="A1:I66"/>
  <sheetViews>
    <sheetView workbookViewId="0">
      <selection activeCell="B62" sqref="B62:I62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29</v>
      </c>
      <c r="B1" s="4" t="s">
        <v>30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316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317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1523</v>
      </c>
      <c r="B7" s="18" t="s">
        <v>1524</v>
      </c>
      <c r="C7" s="14"/>
      <c r="D7" s="14"/>
      <c r="E7" s="40"/>
      <c r="F7" s="20">
        <v>4.5499999999999999E-2</v>
      </c>
      <c r="G7" s="30" t="s">
        <v>95</v>
      </c>
      <c r="H7" s="30"/>
      <c r="I7" s="23"/>
    </row>
    <row r="8" spans="1:9" ht="12.9" customHeight="1">
      <c r="A8" s="17" t="s">
        <v>1525</v>
      </c>
      <c r="B8" s="18" t="s">
        <v>1526</v>
      </c>
      <c r="C8" s="14"/>
      <c r="D8" s="14"/>
      <c r="E8" s="40"/>
      <c r="F8" s="20">
        <v>1.4999999999999999E-2</v>
      </c>
      <c r="G8" s="30" t="s">
        <v>95</v>
      </c>
      <c r="H8" s="30"/>
      <c r="I8" s="23"/>
    </row>
    <row r="9" spans="1:9" ht="12.9" customHeight="1">
      <c r="A9" s="17" t="s">
        <v>1527</v>
      </c>
      <c r="B9" s="18" t="s">
        <v>1528</v>
      </c>
      <c r="C9" s="14"/>
      <c r="D9" s="14"/>
      <c r="E9" s="40"/>
      <c r="F9" s="20">
        <v>7.4999999999999997E-3</v>
      </c>
      <c r="G9" s="30" t="s">
        <v>95</v>
      </c>
      <c r="H9" s="30"/>
      <c r="I9" s="23"/>
    </row>
    <row r="10" spans="1:9" ht="12.9" customHeight="1">
      <c r="A10" s="17" t="s">
        <v>1529</v>
      </c>
      <c r="B10" s="18" t="s">
        <v>1530</v>
      </c>
      <c r="C10" s="14"/>
      <c r="D10" s="14"/>
      <c r="E10" s="40"/>
      <c r="F10" s="20">
        <v>3.0000000000000001E-3</v>
      </c>
      <c r="G10" s="30" t="s">
        <v>95</v>
      </c>
      <c r="H10" s="30"/>
      <c r="I10" s="23"/>
    </row>
    <row r="11" spans="1:9" ht="12.9" customHeight="1">
      <c r="A11" s="17" t="s">
        <v>1531</v>
      </c>
      <c r="B11" s="18" t="s">
        <v>1532</v>
      </c>
      <c r="C11" s="14"/>
      <c r="D11" s="14"/>
      <c r="E11" s="40"/>
      <c r="F11" s="20">
        <v>3.0000000000000001E-3</v>
      </c>
      <c r="G11" s="30" t="s">
        <v>95</v>
      </c>
      <c r="H11" s="30"/>
      <c r="I11" s="23"/>
    </row>
    <row r="12" spans="1:9" ht="12.9" customHeight="1">
      <c r="A12" s="17" t="s">
        <v>1533</v>
      </c>
      <c r="B12" s="18" t="s">
        <v>1534</v>
      </c>
      <c r="C12" s="14"/>
      <c r="D12" s="14"/>
      <c r="E12" s="40"/>
      <c r="F12" s="20">
        <v>1E-3</v>
      </c>
      <c r="G12" s="30" t="s">
        <v>95</v>
      </c>
      <c r="H12" s="30"/>
      <c r="I12" s="23"/>
    </row>
    <row r="13" spans="1:9" ht="12.9" customHeight="1">
      <c r="A13" s="17" t="s">
        <v>1535</v>
      </c>
      <c r="B13" s="18" t="s">
        <v>1536</v>
      </c>
      <c r="C13" s="14"/>
      <c r="D13" s="14"/>
      <c r="E13" s="40"/>
      <c r="F13" s="20">
        <v>5.0000000000000001E-4</v>
      </c>
      <c r="G13" s="30" t="s">
        <v>95</v>
      </c>
      <c r="H13" s="30"/>
      <c r="I13" s="23"/>
    </row>
    <row r="14" spans="1:9" ht="12.9" customHeight="1">
      <c r="A14" s="17" t="s">
        <v>1537</v>
      </c>
      <c r="B14" s="18" t="s">
        <v>1538</v>
      </c>
      <c r="C14" s="14"/>
      <c r="D14" s="14"/>
      <c r="E14" s="40"/>
      <c r="F14" s="20">
        <v>-0.505</v>
      </c>
      <c r="G14" s="30" t="s">
        <v>95</v>
      </c>
      <c r="H14" s="30"/>
      <c r="I14" s="23"/>
    </row>
    <row r="15" spans="1:9" ht="12.9" customHeight="1">
      <c r="A15" s="5"/>
      <c r="B15" s="13" t="s">
        <v>88</v>
      </c>
      <c r="C15" s="14"/>
      <c r="D15" s="14"/>
      <c r="E15" s="14"/>
      <c r="F15" s="24">
        <v>-0.42949999999999999</v>
      </c>
      <c r="G15" s="46">
        <v>-2.8E-5</v>
      </c>
      <c r="H15" s="26"/>
      <c r="I15" s="27"/>
    </row>
    <row r="16" spans="1:9" ht="12.9" customHeight="1">
      <c r="A16" s="5"/>
      <c r="B16" s="28" t="s">
        <v>91</v>
      </c>
      <c r="C16" s="29"/>
      <c r="D16" s="2"/>
      <c r="E16" s="29"/>
      <c r="F16" s="24">
        <v>-0.42949999999999999</v>
      </c>
      <c r="G16" s="46">
        <v>-2.8E-5</v>
      </c>
      <c r="H16" s="26"/>
      <c r="I16" s="27"/>
    </row>
    <row r="17" spans="1:9" ht="12.9" customHeight="1">
      <c r="A17" s="5"/>
      <c r="B17" s="13" t="s">
        <v>79</v>
      </c>
      <c r="C17" s="14"/>
      <c r="D17" s="14"/>
      <c r="E17" s="14"/>
      <c r="F17" s="14"/>
      <c r="G17" s="14"/>
      <c r="H17" s="15"/>
      <c r="I17" s="16"/>
    </row>
    <row r="18" spans="1:9" ht="12.9" customHeight="1">
      <c r="A18" s="5"/>
      <c r="B18" s="13" t="s">
        <v>80</v>
      </c>
      <c r="C18" s="14"/>
      <c r="D18" s="14"/>
      <c r="E18" s="14"/>
      <c r="F18" s="5"/>
      <c r="G18" s="15"/>
      <c r="H18" s="15"/>
      <c r="I18" s="16"/>
    </row>
    <row r="19" spans="1:9" ht="12.9" customHeight="1">
      <c r="A19" s="17" t="s">
        <v>973</v>
      </c>
      <c r="B19" s="18" t="s">
        <v>974</v>
      </c>
      <c r="C19" s="14" t="s">
        <v>975</v>
      </c>
      <c r="D19" s="14" t="s">
        <v>84</v>
      </c>
      <c r="E19" s="19">
        <v>2250600</v>
      </c>
      <c r="F19" s="20">
        <v>2232.4218999999998</v>
      </c>
      <c r="G19" s="21">
        <v>0.14680000000000001</v>
      </c>
      <c r="H19" s="22">
        <v>6.7000000000000004E-2</v>
      </c>
      <c r="I19" s="23"/>
    </row>
    <row r="20" spans="1:9" ht="12.9" customHeight="1">
      <c r="A20" s="17" t="s">
        <v>1438</v>
      </c>
      <c r="B20" s="18" t="s">
        <v>1439</v>
      </c>
      <c r="C20" s="14" t="s">
        <v>1440</v>
      </c>
      <c r="D20" s="14" t="s">
        <v>84</v>
      </c>
      <c r="E20" s="19">
        <v>1934000</v>
      </c>
      <c r="F20" s="20">
        <v>1916.4064000000001</v>
      </c>
      <c r="G20" s="21">
        <v>0.126</v>
      </c>
      <c r="H20" s="22">
        <v>7.5480000000000005E-2</v>
      </c>
      <c r="I20" s="23"/>
    </row>
    <row r="21" spans="1:9" ht="12.9" customHeight="1">
      <c r="A21" s="17" t="s">
        <v>1295</v>
      </c>
      <c r="B21" s="18" t="s">
        <v>1296</v>
      </c>
      <c r="C21" s="14" t="s">
        <v>1297</v>
      </c>
      <c r="D21" s="14" t="s">
        <v>84</v>
      </c>
      <c r="E21" s="19">
        <v>1000000</v>
      </c>
      <c r="F21" s="20">
        <v>999.90099999999995</v>
      </c>
      <c r="G21" s="21">
        <v>6.5799999999999997E-2</v>
      </c>
      <c r="H21" s="22">
        <v>7.5686000000000003E-2</v>
      </c>
      <c r="I21" s="23"/>
    </row>
    <row r="22" spans="1:9" ht="12.9" customHeight="1">
      <c r="A22" s="17" t="s">
        <v>1539</v>
      </c>
      <c r="B22" s="18" t="s">
        <v>1540</v>
      </c>
      <c r="C22" s="14" t="s">
        <v>1541</v>
      </c>
      <c r="D22" s="14" t="s">
        <v>84</v>
      </c>
      <c r="E22" s="19">
        <v>1000000</v>
      </c>
      <c r="F22" s="20">
        <v>973.97400000000005</v>
      </c>
      <c r="G22" s="21">
        <v>6.4100000000000004E-2</v>
      </c>
      <c r="H22" s="22">
        <v>7.4813000000000004E-2</v>
      </c>
      <c r="I22" s="23"/>
    </row>
    <row r="23" spans="1:9" ht="12.9" customHeight="1">
      <c r="A23" s="17" t="s">
        <v>1007</v>
      </c>
      <c r="B23" s="18" t="s">
        <v>1008</v>
      </c>
      <c r="C23" s="14" t="s">
        <v>1009</v>
      </c>
      <c r="D23" s="14" t="s">
        <v>84</v>
      </c>
      <c r="E23" s="19">
        <v>1000000</v>
      </c>
      <c r="F23" s="20">
        <v>969.39800000000002</v>
      </c>
      <c r="G23" s="21">
        <v>6.3799999999999996E-2</v>
      </c>
      <c r="H23" s="22">
        <v>7.1414000000000005E-2</v>
      </c>
      <c r="I23" s="23"/>
    </row>
    <row r="24" spans="1:9" ht="12.9" customHeight="1">
      <c r="A24" s="17" t="s">
        <v>1179</v>
      </c>
      <c r="B24" s="18" t="s">
        <v>1180</v>
      </c>
      <c r="C24" s="14" t="s">
        <v>1181</v>
      </c>
      <c r="D24" s="14" t="s">
        <v>84</v>
      </c>
      <c r="E24" s="19">
        <v>1000000</v>
      </c>
      <c r="F24" s="20">
        <v>938.49900000000002</v>
      </c>
      <c r="G24" s="21">
        <v>6.1699999999999998E-2</v>
      </c>
      <c r="H24" s="22">
        <v>7.5169E-2</v>
      </c>
      <c r="I24" s="23"/>
    </row>
    <row r="25" spans="1:9" ht="12.9" customHeight="1">
      <c r="A25" s="17" t="s">
        <v>1173</v>
      </c>
      <c r="B25" s="18" t="s">
        <v>1174</v>
      </c>
      <c r="C25" s="14" t="s">
        <v>1175</v>
      </c>
      <c r="D25" s="14" t="s">
        <v>84</v>
      </c>
      <c r="E25" s="19">
        <v>700000</v>
      </c>
      <c r="F25" s="20">
        <v>687.04930000000002</v>
      </c>
      <c r="G25" s="21">
        <v>4.5199999999999997E-2</v>
      </c>
      <c r="H25" s="22">
        <v>6.7049999999999998E-2</v>
      </c>
      <c r="I25" s="23"/>
    </row>
    <row r="26" spans="1:9" ht="12.9" customHeight="1">
      <c r="A26" s="17" t="s">
        <v>1542</v>
      </c>
      <c r="B26" s="18" t="s">
        <v>1543</v>
      </c>
      <c r="C26" s="14" t="s">
        <v>1544</v>
      </c>
      <c r="D26" s="14" t="s">
        <v>1545</v>
      </c>
      <c r="E26" s="19">
        <v>500</v>
      </c>
      <c r="F26" s="20">
        <v>533.15650000000005</v>
      </c>
      <c r="G26" s="21">
        <v>3.5099999999999999E-2</v>
      </c>
      <c r="H26" s="22">
        <v>8.3776000000000003E-2</v>
      </c>
      <c r="I26" s="23"/>
    </row>
    <row r="27" spans="1:9" ht="12.9" customHeight="1">
      <c r="A27" s="17" t="s">
        <v>1546</v>
      </c>
      <c r="B27" s="18" t="s">
        <v>1547</v>
      </c>
      <c r="C27" s="14" t="s">
        <v>1548</v>
      </c>
      <c r="D27" s="14" t="s">
        <v>1545</v>
      </c>
      <c r="E27" s="19">
        <v>500</v>
      </c>
      <c r="F27" s="20">
        <v>531.45150000000001</v>
      </c>
      <c r="G27" s="21">
        <v>3.5000000000000003E-2</v>
      </c>
      <c r="H27" s="22">
        <v>8.3376000000000006E-2</v>
      </c>
      <c r="I27" s="23"/>
    </row>
    <row r="28" spans="1:9" ht="12.9" customHeight="1">
      <c r="A28" s="17" t="s">
        <v>1549</v>
      </c>
      <c r="B28" s="18" t="s">
        <v>1550</v>
      </c>
      <c r="C28" s="14" t="s">
        <v>1551</v>
      </c>
      <c r="D28" s="14" t="s">
        <v>109</v>
      </c>
      <c r="E28" s="19">
        <v>500</v>
      </c>
      <c r="F28" s="20">
        <v>510.66750000000002</v>
      </c>
      <c r="G28" s="21">
        <v>3.3599999999999998E-2</v>
      </c>
      <c r="H28" s="22">
        <v>7.0599999999999996E-2</v>
      </c>
      <c r="I28" s="23"/>
    </row>
    <row r="29" spans="1:9" ht="12.9" customHeight="1">
      <c r="A29" s="17" t="s">
        <v>1552</v>
      </c>
      <c r="B29" s="18" t="s">
        <v>1553</v>
      </c>
      <c r="C29" s="14" t="s">
        <v>1554</v>
      </c>
      <c r="D29" s="14" t="s">
        <v>895</v>
      </c>
      <c r="E29" s="19">
        <v>500</v>
      </c>
      <c r="F29" s="20">
        <v>506.98250000000002</v>
      </c>
      <c r="G29" s="21">
        <v>3.3300000000000003E-2</v>
      </c>
      <c r="H29" s="22">
        <v>7.8325000000000006E-2</v>
      </c>
      <c r="I29" s="23"/>
    </row>
    <row r="30" spans="1:9" ht="12.9" customHeight="1">
      <c r="A30" s="17" t="s">
        <v>1119</v>
      </c>
      <c r="B30" s="18" t="s">
        <v>1120</v>
      </c>
      <c r="C30" s="14" t="s">
        <v>1121</v>
      </c>
      <c r="D30" s="14" t="s">
        <v>109</v>
      </c>
      <c r="E30" s="19">
        <v>500</v>
      </c>
      <c r="F30" s="20">
        <v>505.20699999999999</v>
      </c>
      <c r="G30" s="21">
        <v>3.32E-2</v>
      </c>
      <c r="H30" s="22">
        <v>7.0449999999999999E-2</v>
      </c>
      <c r="I30" s="23"/>
    </row>
    <row r="31" spans="1:9" ht="12.9" customHeight="1">
      <c r="A31" s="17" t="s">
        <v>1555</v>
      </c>
      <c r="B31" s="18" t="s">
        <v>1556</v>
      </c>
      <c r="C31" s="14" t="s">
        <v>1557</v>
      </c>
      <c r="D31" s="14" t="s">
        <v>1448</v>
      </c>
      <c r="E31" s="19">
        <v>500</v>
      </c>
      <c r="F31" s="20">
        <v>503.98349999999999</v>
      </c>
      <c r="G31" s="21">
        <v>3.3099999999999997E-2</v>
      </c>
      <c r="H31" s="22">
        <v>8.2500000000000004E-2</v>
      </c>
      <c r="I31" s="23"/>
    </row>
    <row r="32" spans="1:9" ht="12.9" customHeight="1">
      <c r="A32" s="17" t="s">
        <v>1558</v>
      </c>
      <c r="B32" s="18" t="s">
        <v>1559</v>
      </c>
      <c r="C32" s="14" t="s">
        <v>1560</v>
      </c>
      <c r="D32" s="14" t="s">
        <v>1437</v>
      </c>
      <c r="E32" s="19">
        <v>500</v>
      </c>
      <c r="F32" s="20">
        <v>500.99450000000002</v>
      </c>
      <c r="G32" s="21">
        <v>3.3000000000000002E-2</v>
      </c>
      <c r="H32" s="22">
        <v>8.5898000000000002E-2</v>
      </c>
      <c r="I32" s="23"/>
    </row>
    <row r="33" spans="1:9" ht="12.9" customHeight="1">
      <c r="A33" s="17" t="s">
        <v>1561</v>
      </c>
      <c r="B33" s="18" t="s">
        <v>1562</v>
      </c>
      <c r="C33" s="14" t="s">
        <v>1563</v>
      </c>
      <c r="D33" s="14" t="s">
        <v>1437</v>
      </c>
      <c r="E33" s="19">
        <v>500</v>
      </c>
      <c r="F33" s="20">
        <v>499.3725</v>
      </c>
      <c r="G33" s="21">
        <v>3.2800000000000003E-2</v>
      </c>
      <c r="H33" s="22">
        <v>8.7849999999999998E-2</v>
      </c>
      <c r="I33" s="23"/>
    </row>
    <row r="34" spans="1:9" ht="12.9" customHeight="1">
      <c r="A34" s="17" t="s">
        <v>1564</v>
      </c>
      <c r="B34" s="18" t="s">
        <v>1565</v>
      </c>
      <c r="C34" s="14" t="s">
        <v>1566</v>
      </c>
      <c r="D34" s="14" t="s">
        <v>109</v>
      </c>
      <c r="E34" s="19">
        <v>50</v>
      </c>
      <c r="F34" s="20">
        <v>493.76150000000001</v>
      </c>
      <c r="G34" s="21">
        <v>3.2500000000000001E-2</v>
      </c>
      <c r="H34" s="22">
        <v>7.2749999999999995E-2</v>
      </c>
      <c r="I34" s="23"/>
    </row>
    <row r="35" spans="1:9" ht="12.9" customHeight="1">
      <c r="A35" s="5"/>
      <c r="B35" s="13" t="s">
        <v>88</v>
      </c>
      <c r="C35" s="14"/>
      <c r="D35" s="14"/>
      <c r="E35" s="14"/>
      <c r="F35" s="24">
        <v>13303.2266</v>
      </c>
      <c r="G35" s="25">
        <v>0.87490000000000001</v>
      </c>
      <c r="H35" s="26"/>
      <c r="I35" s="27"/>
    </row>
    <row r="36" spans="1:9" ht="12.9" customHeight="1">
      <c r="A36" s="5"/>
      <c r="B36" s="28" t="s">
        <v>89</v>
      </c>
      <c r="C36" s="2"/>
      <c r="D36" s="2"/>
      <c r="E36" s="2"/>
      <c r="F36" s="26" t="s">
        <v>90</v>
      </c>
      <c r="G36" s="26" t="s">
        <v>90</v>
      </c>
      <c r="H36" s="26"/>
      <c r="I36" s="27"/>
    </row>
    <row r="37" spans="1:9" ht="12.9" customHeight="1">
      <c r="A37" s="5"/>
      <c r="B37" s="28" t="s">
        <v>88</v>
      </c>
      <c r="C37" s="2"/>
      <c r="D37" s="2"/>
      <c r="E37" s="2"/>
      <c r="F37" s="26" t="s">
        <v>90</v>
      </c>
      <c r="G37" s="26" t="s">
        <v>90</v>
      </c>
      <c r="H37" s="26"/>
      <c r="I37" s="27"/>
    </row>
    <row r="38" spans="1:9" ht="12.9" customHeight="1">
      <c r="A38" s="5"/>
      <c r="B38" s="28" t="s">
        <v>91</v>
      </c>
      <c r="C38" s="29"/>
      <c r="D38" s="2"/>
      <c r="E38" s="29"/>
      <c r="F38" s="24">
        <v>13303.2266</v>
      </c>
      <c r="G38" s="25">
        <v>0.87490000000000001</v>
      </c>
      <c r="H38" s="26"/>
      <c r="I38" s="27"/>
    </row>
    <row r="39" spans="1:9" ht="12.9" customHeight="1">
      <c r="A39" s="5"/>
      <c r="B39" s="13" t="s">
        <v>311</v>
      </c>
      <c r="C39" s="14"/>
      <c r="D39" s="14"/>
      <c r="E39" s="14"/>
      <c r="F39" s="14"/>
      <c r="G39" s="14"/>
      <c r="H39" s="15"/>
      <c r="I39" s="16"/>
    </row>
    <row r="40" spans="1:9" ht="12.9" customHeight="1">
      <c r="A40" s="5"/>
      <c r="B40" s="13" t="s">
        <v>312</v>
      </c>
      <c r="C40" s="14"/>
      <c r="D40" s="14"/>
      <c r="E40" s="14"/>
      <c r="F40" s="5"/>
      <c r="G40" s="15"/>
      <c r="H40" s="15"/>
      <c r="I40" s="16"/>
    </row>
    <row r="41" spans="1:9" ht="12.9" customHeight="1">
      <c r="A41" s="17" t="s">
        <v>1567</v>
      </c>
      <c r="B41" s="18" t="s">
        <v>1568</v>
      </c>
      <c r="C41" s="14" t="s">
        <v>1569</v>
      </c>
      <c r="D41" s="14" t="s">
        <v>84</v>
      </c>
      <c r="E41" s="19">
        <v>1000000</v>
      </c>
      <c r="F41" s="20">
        <v>980.28599999999994</v>
      </c>
      <c r="G41" s="21">
        <v>6.4500000000000002E-2</v>
      </c>
      <c r="H41" s="22">
        <v>5.4373999999999999E-2</v>
      </c>
      <c r="I41" s="23"/>
    </row>
    <row r="42" spans="1:9" ht="12.9" customHeight="1">
      <c r="A42" s="5"/>
      <c r="B42" s="13" t="s">
        <v>88</v>
      </c>
      <c r="C42" s="14"/>
      <c r="D42" s="14"/>
      <c r="E42" s="14"/>
      <c r="F42" s="24">
        <v>980.28599999999994</v>
      </c>
      <c r="G42" s="25">
        <v>6.4500000000000002E-2</v>
      </c>
      <c r="H42" s="26"/>
      <c r="I42" s="27"/>
    </row>
    <row r="43" spans="1:9" ht="12.9" customHeight="1">
      <c r="A43" s="5"/>
      <c r="B43" s="28" t="s">
        <v>91</v>
      </c>
      <c r="C43" s="29"/>
      <c r="D43" s="2"/>
      <c r="E43" s="29"/>
      <c r="F43" s="24">
        <v>980.28599999999994</v>
      </c>
      <c r="G43" s="25">
        <v>6.4500000000000002E-2</v>
      </c>
      <c r="H43" s="26"/>
      <c r="I43" s="27"/>
    </row>
    <row r="44" spans="1:9" ht="12.9" customHeight="1">
      <c r="A44" s="5"/>
      <c r="B44" s="13" t="s">
        <v>285</v>
      </c>
      <c r="C44" s="14"/>
      <c r="D44" s="14"/>
      <c r="E44" s="14"/>
      <c r="F44" s="14"/>
      <c r="G44" s="14"/>
      <c r="H44" s="15"/>
      <c r="I44" s="16"/>
    </row>
    <row r="45" spans="1:9" ht="12.9" customHeight="1">
      <c r="A45" s="5"/>
      <c r="B45" s="13" t="s">
        <v>789</v>
      </c>
      <c r="C45" s="14"/>
      <c r="D45" s="14"/>
      <c r="E45" s="14"/>
      <c r="F45" s="5"/>
      <c r="G45" s="15"/>
      <c r="H45" s="15"/>
      <c r="I45" s="16"/>
    </row>
    <row r="46" spans="1:9" ht="12.9" customHeight="1">
      <c r="A46" s="17" t="s">
        <v>790</v>
      </c>
      <c r="B46" s="18" t="s">
        <v>791</v>
      </c>
      <c r="C46" s="14" t="s">
        <v>792</v>
      </c>
      <c r="D46" s="14"/>
      <c r="E46" s="19">
        <v>1150.0429999999999</v>
      </c>
      <c r="F46" s="20">
        <v>132.4735</v>
      </c>
      <c r="G46" s="21">
        <v>8.6999999999999994E-3</v>
      </c>
      <c r="H46" s="22"/>
      <c r="I46" s="23"/>
    </row>
    <row r="47" spans="1:9" ht="12.9" customHeight="1">
      <c r="A47" s="5"/>
      <c r="B47" s="13" t="s">
        <v>88</v>
      </c>
      <c r="C47" s="14"/>
      <c r="D47" s="14"/>
      <c r="E47" s="14"/>
      <c r="F47" s="24">
        <v>132.4735</v>
      </c>
      <c r="G47" s="25">
        <v>8.6999999999999994E-3</v>
      </c>
      <c r="H47" s="26"/>
      <c r="I47" s="27"/>
    </row>
    <row r="48" spans="1:9" ht="12.9" customHeight="1">
      <c r="A48" s="5"/>
      <c r="B48" s="28" t="s">
        <v>91</v>
      </c>
      <c r="C48" s="29"/>
      <c r="D48" s="2"/>
      <c r="E48" s="29"/>
      <c r="F48" s="24">
        <v>132.4735</v>
      </c>
      <c r="G48" s="25">
        <v>8.6999999999999994E-3</v>
      </c>
      <c r="H48" s="26"/>
      <c r="I48" s="27"/>
    </row>
    <row r="49" spans="1:9" ht="12.9" customHeight="1">
      <c r="A49" s="5"/>
      <c r="B49" s="13" t="s">
        <v>92</v>
      </c>
      <c r="C49" s="14"/>
      <c r="D49" s="14"/>
      <c r="E49" s="14"/>
      <c r="F49" s="14"/>
      <c r="G49" s="14"/>
      <c r="H49" s="15"/>
      <c r="I49" s="16"/>
    </row>
    <row r="50" spans="1:9" ht="12.9" customHeight="1">
      <c r="A50" s="17" t="s">
        <v>93</v>
      </c>
      <c r="B50" s="18" t="s">
        <v>94</v>
      </c>
      <c r="C50" s="14"/>
      <c r="D50" s="14"/>
      <c r="E50" s="19"/>
      <c r="F50" s="20">
        <v>529.63</v>
      </c>
      <c r="G50" s="21">
        <v>3.4799999999999998E-2</v>
      </c>
      <c r="H50" s="22">
        <v>5.0765167118866292E-2</v>
      </c>
      <c r="I50" s="23"/>
    </row>
    <row r="51" spans="1:9" ht="12.9" customHeight="1">
      <c r="A51" s="5"/>
      <c r="B51" s="13" t="s">
        <v>88</v>
      </c>
      <c r="C51" s="14"/>
      <c r="D51" s="14"/>
      <c r="E51" s="14"/>
      <c r="F51" s="24">
        <v>529.63</v>
      </c>
      <c r="G51" s="25">
        <v>3.4799999999999998E-2</v>
      </c>
      <c r="H51" s="26"/>
      <c r="I51" s="27"/>
    </row>
    <row r="52" spans="1:9" ht="12.9" customHeight="1">
      <c r="A52" s="5"/>
      <c r="B52" s="28" t="s">
        <v>91</v>
      </c>
      <c r="C52" s="29"/>
      <c r="D52" s="2"/>
      <c r="E52" s="29"/>
      <c r="F52" s="24">
        <v>529.63</v>
      </c>
      <c r="G52" s="25">
        <v>3.4799999999999998E-2</v>
      </c>
      <c r="H52" s="26"/>
      <c r="I52" s="27"/>
    </row>
    <row r="53" spans="1:9" ht="12.9" customHeight="1">
      <c r="A53" s="5"/>
      <c r="B53" s="28" t="s">
        <v>96</v>
      </c>
      <c r="C53" s="14"/>
      <c r="D53" s="2"/>
      <c r="E53" s="14"/>
      <c r="F53" s="31">
        <v>259.48340000000002</v>
      </c>
      <c r="G53" s="25">
        <v>1.7066033001702768E-2</v>
      </c>
      <c r="H53" s="26"/>
      <c r="I53" s="27"/>
    </row>
    <row r="54" spans="1:9" ht="12.9" customHeight="1">
      <c r="A54" s="5"/>
      <c r="B54" s="32" t="s">
        <v>97</v>
      </c>
      <c r="C54" s="33"/>
      <c r="D54" s="33"/>
      <c r="E54" s="33"/>
      <c r="F54" s="34">
        <v>15204.67</v>
      </c>
      <c r="G54" s="35">
        <v>1</v>
      </c>
      <c r="H54" s="36"/>
      <c r="I54" s="37"/>
    </row>
    <row r="55" spans="1:9" ht="12.9" customHeight="1">
      <c r="A55" s="5"/>
      <c r="B55" s="7"/>
      <c r="C55" s="5"/>
      <c r="D55" s="5"/>
      <c r="E55" s="5"/>
      <c r="F55" s="5"/>
      <c r="G55" s="5"/>
      <c r="H55" s="5"/>
      <c r="I55" s="5"/>
    </row>
    <row r="56" spans="1:9" ht="12.9" customHeight="1">
      <c r="A56" s="5"/>
      <c r="B56" s="4" t="s">
        <v>793</v>
      </c>
      <c r="C56" s="5"/>
      <c r="D56" s="5"/>
      <c r="E56" s="5"/>
      <c r="F56" s="5"/>
      <c r="G56" s="5"/>
      <c r="H56" s="5"/>
      <c r="I56" s="5"/>
    </row>
    <row r="57" spans="1:9" ht="12.9" customHeight="1">
      <c r="A57" s="5"/>
      <c r="B57" s="4" t="s">
        <v>146</v>
      </c>
      <c r="C57" s="5"/>
      <c r="D57" s="5"/>
      <c r="E57" s="5"/>
      <c r="F57" s="5"/>
      <c r="G57" s="5"/>
      <c r="H57" s="5"/>
      <c r="I57" s="5"/>
    </row>
    <row r="58" spans="1:9" ht="12.9" customHeight="1">
      <c r="A58" s="5"/>
      <c r="B58" s="4" t="s">
        <v>98</v>
      </c>
      <c r="C58" s="5"/>
      <c r="D58" s="5"/>
      <c r="E58" s="5"/>
      <c r="F58" s="5"/>
      <c r="G58" s="5"/>
      <c r="H58" s="5"/>
      <c r="I58" s="5"/>
    </row>
    <row r="59" spans="1:9" ht="12.9" customHeight="1">
      <c r="A59" s="5"/>
      <c r="B59" s="4" t="s">
        <v>99</v>
      </c>
      <c r="C59" s="5"/>
      <c r="D59" s="5"/>
      <c r="E59" s="5"/>
      <c r="F59" s="5"/>
      <c r="G59" s="5"/>
      <c r="H59" s="5"/>
      <c r="I59" s="5"/>
    </row>
    <row r="60" spans="1:9" ht="26.1" customHeight="1">
      <c r="A60" s="5"/>
      <c r="B60" s="50" t="s">
        <v>100</v>
      </c>
      <c r="C60" s="50"/>
      <c r="D60" s="50"/>
      <c r="E60" s="50"/>
      <c r="F60" s="50"/>
      <c r="G60" s="50"/>
      <c r="H60" s="50"/>
      <c r="I60" s="50"/>
    </row>
    <row r="61" spans="1:9" ht="12.9" customHeight="1">
      <c r="A61" s="5"/>
      <c r="B61" s="50" t="s">
        <v>101</v>
      </c>
      <c r="C61" s="50"/>
      <c r="D61" s="50"/>
      <c r="E61" s="50"/>
      <c r="F61" s="50"/>
      <c r="G61" s="50"/>
      <c r="H61" s="50"/>
      <c r="I61" s="50"/>
    </row>
    <row r="62" spans="1:9" ht="12.9" customHeight="1">
      <c r="A62" s="5"/>
      <c r="B62" s="50"/>
      <c r="C62" s="50"/>
      <c r="D62" s="50"/>
      <c r="E62" s="50"/>
      <c r="F62" s="50"/>
      <c r="G62" s="50"/>
      <c r="H62" s="50"/>
      <c r="I62" s="50"/>
    </row>
    <row r="63" spans="1:9" ht="12.9" customHeight="1">
      <c r="A63" s="5"/>
      <c r="B63" s="50"/>
      <c r="C63" s="50"/>
      <c r="D63" s="50"/>
      <c r="E63" s="50"/>
      <c r="F63" s="50"/>
      <c r="G63" s="50"/>
      <c r="H63" s="50"/>
      <c r="I63" s="50"/>
    </row>
    <row r="64" spans="1:9" ht="12.9" customHeight="1">
      <c r="A64" s="5"/>
      <c r="B64" s="5"/>
      <c r="C64" s="51" t="s">
        <v>1570</v>
      </c>
      <c r="D64" s="51"/>
      <c r="E64" s="51"/>
      <c r="F64" s="51"/>
      <c r="G64" s="5"/>
      <c r="H64" s="5"/>
      <c r="I64" s="5"/>
    </row>
    <row r="65" spans="1:9" ht="12.9" customHeight="1">
      <c r="A65" s="5"/>
      <c r="B65" s="38" t="s">
        <v>103</v>
      </c>
      <c r="C65" s="51" t="s">
        <v>104</v>
      </c>
      <c r="D65" s="51"/>
      <c r="E65" s="51"/>
      <c r="F65" s="51"/>
      <c r="G65" s="5"/>
      <c r="H65" s="5"/>
      <c r="I65" s="5"/>
    </row>
    <row r="66" spans="1:9" ht="135" customHeight="1">
      <c r="A66" s="5"/>
      <c r="B66" s="39"/>
      <c r="C66" s="52"/>
      <c r="D66" s="52"/>
      <c r="E66" s="5"/>
      <c r="F66" s="5"/>
      <c r="G66" s="5"/>
      <c r="H66" s="5"/>
      <c r="I66" s="5"/>
    </row>
  </sheetData>
  <mergeCells count="7">
    <mergeCell ref="B63:I63"/>
    <mergeCell ref="C64:F64"/>
    <mergeCell ref="C65:F65"/>
    <mergeCell ref="C66:D66"/>
    <mergeCell ref="B60:I60"/>
    <mergeCell ref="B61:I61"/>
    <mergeCell ref="B62:I62"/>
  </mergeCells>
  <hyperlinks>
    <hyperlink ref="A1" location="AxisFloaterFund" display="AXISFLO" xr:uid="{00000000-0004-0000-1D00-000000000000}"/>
    <hyperlink ref="B1" location="AxisFloaterFund" display="Axis Floater Fund" xr:uid="{00000000-0004-0000-1D00-000001000000}"/>
  </hyperlinks>
  <pageMargins left="0" right="0" top="0" bottom="0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/>
  </sheetPr>
  <dimension ref="A1:I49"/>
  <sheetViews>
    <sheetView workbookViewId="0">
      <selection activeCell="B44" sqref="B44:I44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31</v>
      </c>
      <c r="B1" s="4" t="s">
        <v>32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1571</v>
      </c>
      <c r="B7" s="18" t="s">
        <v>1572</v>
      </c>
      <c r="C7" s="14" t="s">
        <v>1573</v>
      </c>
      <c r="D7" s="14" t="s">
        <v>372</v>
      </c>
      <c r="E7" s="19">
        <v>2500</v>
      </c>
      <c r="F7" s="20">
        <v>2511.2375000000002</v>
      </c>
      <c r="G7" s="21">
        <v>7.9200000000000007E-2</v>
      </c>
      <c r="H7" s="22">
        <v>6.5000000000000002E-2</v>
      </c>
      <c r="I7" s="23"/>
    </row>
    <row r="8" spans="1:9" ht="12.9" customHeight="1">
      <c r="A8" s="17" t="s">
        <v>1574</v>
      </c>
      <c r="B8" s="18" t="s">
        <v>1575</v>
      </c>
      <c r="C8" s="14" t="s">
        <v>1576</v>
      </c>
      <c r="D8" s="14" t="s">
        <v>109</v>
      </c>
      <c r="E8" s="19">
        <v>250</v>
      </c>
      <c r="F8" s="20">
        <v>2509.9625000000001</v>
      </c>
      <c r="G8" s="21">
        <v>7.9200000000000007E-2</v>
      </c>
      <c r="H8" s="22">
        <v>6.5648999999999999E-2</v>
      </c>
      <c r="I8" s="23"/>
    </row>
    <row r="9" spans="1:9" ht="12.9" customHeight="1">
      <c r="A9" s="17" t="s">
        <v>143</v>
      </c>
      <c r="B9" s="18" t="s">
        <v>144</v>
      </c>
      <c r="C9" s="14" t="s">
        <v>145</v>
      </c>
      <c r="D9" s="14" t="s">
        <v>109</v>
      </c>
      <c r="E9" s="19">
        <v>2500</v>
      </c>
      <c r="F9" s="20">
        <v>2506.2449999999999</v>
      </c>
      <c r="G9" s="21">
        <v>7.9000000000000001E-2</v>
      </c>
      <c r="H9" s="22">
        <v>6.5000000000000002E-2</v>
      </c>
      <c r="I9" s="23"/>
    </row>
    <row r="10" spans="1:9" ht="12.9" customHeight="1">
      <c r="A10" s="17" t="s">
        <v>1577</v>
      </c>
      <c r="B10" s="18" t="s">
        <v>1578</v>
      </c>
      <c r="C10" s="14" t="s">
        <v>1579</v>
      </c>
      <c r="D10" s="14" t="s">
        <v>109</v>
      </c>
      <c r="E10" s="19">
        <v>250</v>
      </c>
      <c r="F10" s="20">
        <v>2491.2750000000001</v>
      </c>
      <c r="G10" s="21">
        <v>7.8600000000000003E-2</v>
      </c>
      <c r="H10" s="22">
        <v>6.6299999999999998E-2</v>
      </c>
      <c r="I10" s="23"/>
    </row>
    <row r="11" spans="1:9" ht="12.9" customHeight="1">
      <c r="A11" s="5"/>
      <c r="B11" s="13" t="s">
        <v>88</v>
      </c>
      <c r="C11" s="14"/>
      <c r="D11" s="14"/>
      <c r="E11" s="14"/>
      <c r="F11" s="24">
        <v>10018.719999999999</v>
      </c>
      <c r="G11" s="25">
        <v>0.316</v>
      </c>
      <c r="H11" s="26"/>
      <c r="I11" s="27"/>
    </row>
    <row r="12" spans="1:9" ht="12.9" customHeight="1">
      <c r="A12" s="5"/>
      <c r="B12" s="28" t="s">
        <v>89</v>
      </c>
      <c r="C12" s="2"/>
      <c r="D12" s="2"/>
      <c r="E12" s="2"/>
      <c r="F12" s="26" t="s">
        <v>90</v>
      </c>
      <c r="G12" s="26" t="s">
        <v>90</v>
      </c>
      <c r="H12" s="26"/>
      <c r="I12" s="27"/>
    </row>
    <row r="13" spans="1:9" ht="12.9" customHeight="1">
      <c r="A13" s="5"/>
      <c r="B13" s="28" t="s">
        <v>88</v>
      </c>
      <c r="C13" s="2"/>
      <c r="D13" s="2"/>
      <c r="E13" s="2"/>
      <c r="F13" s="26" t="s">
        <v>90</v>
      </c>
      <c r="G13" s="26" t="s">
        <v>90</v>
      </c>
      <c r="H13" s="26"/>
      <c r="I13" s="27"/>
    </row>
    <row r="14" spans="1:9" ht="12.9" customHeight="1">
      <c r="A14" s="5"/>
      <c r="B14" s="28" t="s">
        <v>91</v>
      </c>
      <c r="C14" s="29"/>
      <c r="D14" s="2"/>
      <c r="E14" s="29"/>
      <c r="F14" s="24">
        <v>10018.719999999999</v>
      </c>
      <c r="G14" s="25">
        <v>0.316</v>
      </c>
      <c r="H14" s="26"/>
      <c r="I14" s="27"/>
    </row>
    <row r="15" spans="1:9" ht="12.9" customHeight="1">
      <c r="A15" s="5"/>
      <c r="B15" s="13" t="s">
        <v>311</v>
      </c>
      <c r="C15" s="14"/>
      <c r="D15" s="14"/>
      <c r="E15" s="14"/>
      <c r="F15" s="14"/>
      <c r="G15" s="14"/>
      <c r="H15" s="15"/>
      <c r="I15" s="16"/>
    </row>
    <row r="16" spans="1:9" ht="12.9" customHeight="1">
      <c r="A16" s="5"/>
      <c r="B16" s="13" t="s">
        <v>762</v>
      </c>
      <c r="C16" s="14"/>
      <c r="D16" s="14"/>
      <c r="E16" s="14"/>
      <c r="F16" s="5"/>
      <c r="G16" s="15"/>
      <c r="H16" s="15"/>
      <c r="I16" s="16"/>
    </row>
    <row r="17" spans="1:9" ht="12.9" customHeight="1">
      <c r="A17" s="17" t="s">
        <v>1580</v>
      </c>
      <c r="B17" s="18" t="s">
        <v>1581</v>
      </c>
      <c r="C17" s="14" t="s">
        <v>1582</v>
      </c>
      <c r="D17" s="14" t="s">
        <v>1583</v>
      </c>
      <c r="E17" s="19">
        <v>700</v>
      </c>
      <c r="F17" s="20">
        <v>3398.1149999999998</v>
      </c>
      <c r="G17" s="21">
        <v>0.1072</v>
      </c>
      <c r="H17" s="22">
        <v>6.4000000000000001E-2</v>
      </c>
      <c r="I17" s="23"/>
    </row>
    <row r="18" spans="1:9" ht="12.9" customHeight="1">
      <c r="A18" s="17" t="s">
        <v>1584</v>
      </c>
      <c r="B18" s="18" t="s">
        <v>1585</v>
      </c>
      <c r="C18" s="14" t="s">
        <v>1586</v>
      </c>
      <c r="D18" s="14" t="s">
        <v>1583</v>
      </c>
      <c r="E18" s="19">
        <v>500</v>
      </c>
      <c r="F18" s="20">
        <v>2433.9699999999998</v>
      </c>
      <c r="G18" s="21">
        <v>7.6799999999999993E-2</v>
      </c>
      <c r="H18" s="22">
        <v>6.4298999999999995E-2</v>
      </c>
      <c r="I18" s="23"/>
    </row>
    <row r="19" spans="1:9" ht="12.9" customHeight="1">
      <c r="A19" s="17" t="s">
        <v>1587</v>
      </c>
      <c r="B19" s="18" t="s">
        <v>1588</v>
      </c>
      <c r="C19" s="14" t="s">
        <v>1589</v>
      </c>
      <c r="D19" s="14" t="s">
        <v>770</v>
      </c>
      <c r="E19" s="19">
        <v>500</v>
      </c>
      <c r="F19" s="20">
        <v>2433.3525</v>
      </c>
      <c r="G19" s="21">
        <v>7.6700000000000004E-2</v>
      </c>
      <c r="H19" s="22">
        <v>6.4498E-2</v>
      </c>
      <c r="I19" s="23"/>
    </row>
    <row r="20" spans="1:9" ht="12.9" customHeight="1">
      <c r="A20" s="17" t="s">
        <v>1590</v>
      </c>
      <c r="B20" s="18" t="s">
        <v>1591</v>
      </c>
      <c r="C20" s="14" t="s">
        <v>1592</v>
      </c>
      <c r="D20" s="14" t="s">
        <v>1583</v>
      </c>
      <c r="E20" s="19">
        <v>400</v>
      </c>
      <c r="F20" s="20">
        <v>1969.838</v>
      </c>
      <c r="G20" s="21">
        <v>6.2100000000000002E-2</v>
      </c>
      <c r="H20" s="22">
        <v>6.0749999999999998E-2</v>
      </c>
      <c r="I20" s="23"/>
    </row>
    <row r="21" spans="1:9" ht="12.9" customHeight="1">
      <c r="A21" s="17" t="s">
        <v>1593</v>
      </c>
      <c r="B21" s="18" t="s">
        <v>1594</v>
      </c>
      <c r="C21" s="14" t="s">
        <v>1595</v>
      </c>
      <c r="D21" s="14" t="s">
        <v>770</v>
      </c>
      <c r="E21" s="19">
        <v>100</v>
      </c>
      <c r="F21" s="20">
        <v>495.80950000000001</v>
      </c>
      <c r="G21" s="21">
        <v>1.5599999999999999E-2</v>
      </c>
      <c r="H21" s="22">
        <v>6.1698000000000003E-2</v>
      </c>
      <c r="I21" s="23"/>
    </row>
    <row r="22" spans="1:9" ht="12.9" customHeight="1">
      <c r="A22" s="17" t="s">
        <v>1596</v>
      </c>
      <c r="B22" s="18" t="s">
        <v>1597</v>
      </c>
      <c r="C22" s="14" t="s">
        <v>1598</v>
      </c>
      <c r="D22" s="14" t="s">
        <v>770</v>
      </c>
      <c r="E22" s="19">
        <v>100</v>
      </c>
      <c r="F22" s="20">
        <v>493.89550000000003</v>
      </c>
      <c r="G22" s="21">
        <v>1.5599999999999999E-2</v>
      </c>
      <c r="H22" s="22">
        <v>6.1800000000000001E-2</v>
      </c>
      <c r="I22" s="23"/>
    </row>
    <row r="23" spans="1:9" ht="12.9" customHeight="1">
      <c r="A23" s="17" t="s">
        <v>1599</v>
      </c>
      <c r="B23" s="18" t="s">
        <v>1600</v>
      </c>
      <c r="C23" s="14" t="s">
        <v>1601</v>
      </c>
      <c r="D23" s="14" t="s">
        <v>770</v>
      </c>
      <c r="E23" s="19">
        <v>100</v>
      </c>
      <c r="F23" s="20">
        <v>493.62349999999998</v>
      </c>
      <c r="G23" s="21">
        <v>1.5599999999999999E-2</v>
      </c>
      <c r="H23" s="22">
        <v>6.0449999999999997E-2</v>
      </c>
      <c r="I23" s="23"/>
    </row>
    <row r="24" spans="1:9" ht="12.9" customHeight="1">
      <c r="A24" s="17" t="s">
        <v>1602</v>
      </c>
      <c r="B24" s="18" t="s">
        <v>1603</v>
      </c>
      <c r="C24" s="14" t="s">
        <v>1604</v>
      </c>
      <c r="D24" s="14" t="s">
        <v>1583</v>
      </c>
      <c r="E24" s="19">
        <v>100</v>
      </c>
      <c r="F24" s="20">
        <v>493.20350000000002</v>
      </c>
      <c r="G24" s="21">
        <v>1.5599999999999999E-2</v>
      </c>
      <c r="H24" s="22">
        <v>6.0600000000000001E-2</v>
      </c>
      <c r="I24" s="23"/>
    </row>
    <row r="25" spans="1:9" ht="12.9" customHeight="1">
      <c r="A25" s="17" t="s">
        <v>1605</v>
      </c>
      <c r="B25" s="18" t="s">
        <v>1606</v>
      </c>
      <c r="C25" s="14" t="s">
        <v>1607</v>
      </c>
      <c r="D25" s="14" t="s">
        <v>770</v>
      </c>
      <c r="E25" s="19">
        <v>100</v>
      </c>
      <c r="F25" s="20">
        <v>492.95</v>
      </c>
      <c r="G25" s="21">
        <v>1.55E-2</v>
      </c>
      <c r="H25" s="22">
        <v>6.0699000000000003E-2</v>
      </c>
      <c r="I25" s="23"/>
    </row>
    <row r="26" spans="1:9" ht="12.9" customHeight="1">
      <c r="A26" s="5"/>
      <c r="B26" s="13" t="s">
        <v>88</v>
      </c>
      <c r="C26" s="14"/>
      <c r="D26" s="14"/>
      <c r="E26" s="14"/>
      <c r="F26" s="24">
        <v>12704.7575</v>
      </c>
      <c r="G26" s="25">
        <v>0.4007</v>
      </c>
      <c r="H26" s="26"/>
      <c r="I26" s="27"/>
    </row>
    <row r="27" spans="1:9" ht="12.9" customHeight="1">
      <c r="A27" s="5"/>
      <c r="B27" s="13" t="s">
        <v>1481</v>
      </c>
      <c r="C27" s="14"/>
      <c r="D27" s="14"/>
      <c r="E27" s="14"/>
      <c r="F27" s="5"/>
      <c r="G27" s="15"/>
      <c r="H27" s="15"/>
      <c r="I27" s="16"/>
    </row>
    <row r="28" spans="1:9" ht="12.9" customHeight="1">
      <c r="A28" s="17" t="s">
        <v>1608</v>
      </c>
      <c r="B28" s="18" t="s">
        <v>1609</v>
      </c>
      <c r="C28" s="14" t="s">
        <v>1610</v>
      </c>
      <c r="D28" s="14" t="s">
        <v>770</v>
      </c>
      <c r="E28" s="19">
        <v>700</v>
      </c>
      <c r="F28" s="20">
        <v>3444.3710000000001</v>
      </c>
      <c r="G28" s="21">
        <v>0.1086</v>
      </c>
      <c r="H28" s="22">
        <v>6.5500000000000003E-2</v>
      </c>
      <c r="I28" s="23"/>
    </row>
    <row r="29" spans="1:9" ht="12.9" customHeight="1">
      <c r="A29" s="17" t="s">
        <v>1611</v>
      </c>
      <c r="B29" s="18" t="s">
        <v>1612</v>
      </c>
      <c r="C29" s="14" t="s">
        <v>1613</v>
      </c>
      <c r="D29" s="14" t="s">
        <v>770</v>
      </c>
      <c r="E29" s="19">
        <v>500</v>
      </c>
      <c r="F29" s="20">
        <v>2429.4450000000002</v>
      </c>
      <c r="G29" s="21">
        <v>7.6600000000000001E-2</v>
      </c>
      <c r="H29" s="22">
        <v>6.7949999999999997E-2</v>
      </c>
      <c r="I29" s="23"/>
    </row>
    <row r="30" spans="1:9" ht="12.9" customHeight="1">
      <c r="A30" s="17" t="s">
        <v>1614</v>
      </c>
      <c r="B30" s="18" t="s">
        <v>1615</v>
      </c>
      <c r="C30" s="14" t="s">
        <v>1616</v>
      </c>
      <c r="D30" s="14" t="s">
        <v>770</v>
      </c>
      <c r="E30" s="19">
        <v>500</v>
      </c>
      <c r="F30" s="20">
        <v>2420.0650000000001</v>
      </c>
      <c r="G30" s="21">
        <v>7.6300000000000007E-2</v>
      </c>
      <c r="H30" s="22">
        <v>6.8500000000000005E-2</v>
      </c>
      <c r="I30" s="23"/>
    </row>
    <row r="31" spans="1:9" ht="12.9" customHeight="1">
      <c r="A31" s="5"/>
      <c r="B31" s="13" t="s">
        <v>88</v>
      </c>
      <c r="C31" s="14"/>
      <c r="D31" s="14"/>
      <c r="E31" s="14"/>
      <c r="F31" s="24">
        <v>8293.8809999999994</v>
      </c>
      <c r="G31" s="25">
        <v>0.2616</v>
      </c>
      <c r="H31" s="26"/>
      <c r="I31" s="27"/>
    </row>
    <row r="32" spans="1:9" ht="12.9" customHeight="1">
      <c r="A32" s="5"/>
      <c r="B32" s="28" t="s">
        <v>91</v>
      </c>
      <c r="C32" s="29"/>
      <c r="D32" s="2"/>
      <c r="E32" s="29"/>
      <c r="F32" s="24">
        <v>20998.638500000001</v>
      </c>
      <c r="G32" s="25">
        <v>0.6623</v>
      </c>
      <c r="H32" s="26"/>
      <c r="I32" s="27"/>
    </row>
    <row r="33" spans="1:9" ht="12.9" customHeight="1">
      <c r="A33" s="5"/>
      <c r="B33" s="13" t="s">
        <v>92</v>
      </c>
      <c r="C33" s="14"/>
      <c r="D33" s="14"/>
      <c r="E33" s="14"/>
      <c r="F33" s="14"/>
      <c r="G33" s="14"/>
      <c r="H33" s="15"/>
      <c r="I33" s="16"/>
    </row>
    <row r="34" spans="1:9" ht="12.9" customHeight="1">
      <c r="A34" s="17" t="s">
        <v>93</v>
      </c>
      <c r="B34" s="18" t="s">
        <v>94</v>
      </c>
      <c r="C34" s="14"/>
      <c r="D34" s="14"/>
      <c r="E34" s="19"/>
      <c r="F34" s="20">
        <v>287.23</v>
      </c>
      <c r="G34" s="21">
        <v>9.1000000000000004E-3</v>
      </c>
      <c r="H34" s="22">
        <v>5.0765098406859221E-2</v>
      </c>
      <c r="I34" s="23"/>
    </row>
    <row r="35" spans="1:9" ht="12.9" customHeight="1">
      <c r="A35" s="5"/>
      <c r="B35" s="13" t="s">
        <v>88</v>
      </c>
      <c r="C35" s="14"/>
      <c r="D35" s="14"/>
      <c r="E35" s="14"/>
      <c r="F35" s="24">
        <v>287.23</v>
      </c>
      <c r="G35" s="25">
        <v>9.1000000000000004E-3</v>
      </c>
      <c r="H35" s="26"/>
      <c r="I35" s="27"/>
    </row>
    <row r="36" spans="1:9" ht="12.9" customHeight="1">
      <c r="A36" s="5"/>
      <c r="B36" s="28" t="s">
        <v>91</v>
      </c>
      <c r="C36" s="29"/>
      <c r="D36" s="2"/>
      <c r="E36" s="29"/>
      <c r="F36" s="24">
        <v>287.23</v>
      </c>
      <c r="G36" s="25">
        <v>9.1000000000000004E-3</v>
      </c>
      <c r="H36" s="26"/>
      <c r="I36" s="27"/>
    </row>
    <row r="37" spans="1:9" ht="12.9" customHeight="1">
      <c r="A37" s="5"/>
      <c r="B37" s="28" t="s">
        <v>96</v>
      </c>
      <c r="C37" s="14"/>
      <c r="D37" s="2"/>
      <c r="E37" s="14"/>
      <c r="F37" s="31">
        <v>403.17149999999998</v>
      </c>
      <c r="G37" s="25">
        <v>1.26E-2</v>
      </c>
      <c r="H37" s="26"/>
      <c r="I37" s="27"/>
    </row>
    <row r="38" spans="1:9" ht="12.9" customHeight="1">
      <c r="A38" s="5"/>
      <c r="B38" s="32" t="s">
        <v>97</v>
      </c>
      <c r="C38" s="33"/>
      <c r="D38" s="33"/>
      <c r="E38" s="33"/>
      <c r="F38" s="34">
        <v>31707.759999999998</v>
      </c>
      <c r="G38" s="35">
        <v>1</v>
      </c>
      <c r="H38" s="36"/>
      <c r="I38" s="37"/>
    </row>
    <row r="39" spans="1:9" ht="12.9" customHeight="1">
      <c r="A39" s="5"/>
      <c r="B39" s="7"/>
      <c r="C39" s="5"/>
      <c r="D39" s="5"/>
      <c r="E39" s="5"/>
      <c r="F39" s="5"/>
      <c r="G39" s="5"/>
      <c r="H39" s="5"/>
      <c r="I39" s="5"/>
    </row>
    <row r="40" spans="1:9" ht="12.9" customHeight="1">
      <c r="A40" s="5"/>
      <c r="B40" s="4" t="s">
        <v>146</v>
      </c>
      <c r="C40" s="5"/>
      <c r="D40" s="5"/>
      <c r="E40" s="5"/>
      <c r="F40" s="5"/>
      <c r="G40" s="5"/>
      <c r="H40" s="5"/>
      <c r="I40" s="5"/>
    </row>
    <row r="41" spans="1:9" ht="12.9" customHeight="1">
      <c r="A41" s="5"/>
      <c r="B41" s="4" t="s">
        <v>99</v>
      </c>
      <c r="C41" s="5"/>
      <c r="D41" s="5"/>
      <c r="E41" s="5"/>
      <c r="F41" s="5"/>
      <c r="G41" s="5"/>
      <c r="H41" s="5"/>
      <c r="I41" s="5"/>
    </row>
    <row r="42" spans="1:9" ht="26.1" customHeight="1">
      <c r="A42" s="5"/>
      <c r="B42" s="50" t="s">
        <v>100</v>
      </c>
      <c r="C42" s="50"/>
      <c r="D42" s="50"/>
      <c r="E42" s="50"/>
      <c r="F42" s="50"/>
      <c r="G42" s="50"/>
      <c r="H42" s="50"/>
      <c r="I42" s="50"/>
    </row>
    <row r="43" spans="1:9" ht="12.9" customHeight="1">
      <c r="A43" s="5"/>
      <c r="B43" s="50" t="s">
        <v>101</v>
      </c>
      <c r="C43" s="50"/>
      <c r="D43" s="50"/>
      <c r="E43" s="50"/>
      <c r="F43" s="50"/>
      <c r="G43" s="50"/>
      <c r="H43" s="50"/>
      <c r="I43" s="50"/>
    </row>
    <row r="44" spans="1:9" ht="12.9" customHeight="1">
      <c r="A44" s="5"/>
      <c r="B44" s="50" t="s">
        <v>1617</v>
      </c>
      <c r="C44" s="50"/>
      <c r="D44" s="50"/>
      <c r="E44" s="50"/>
      <c r="F44" s="50"/>
      <c r="G44" s="5"/>
      <c r="H44" s="5"/>
      <c r="I44" s="5"/>
    </row>
    <row r="45" spans="1:9" ht="12.9" customHeight="1">
      <c r="A45" s="5"/>
      <c r="B45" s="50"/>
      <c r="C45" s="50"/>
      <c r="D45" s="50"/>
      <c r="E45" s="50"/>
      <c r="F45" s="50"/>
      <c r="G45" s="50"/>
      <c r="H45" s="50"/>
      <c r="I45" s="50"/>
    </row>
    <row r="46" spans="1:9" ht="12.9" customHeight="1">
      <c r="A46" s="5"/>
      <c r="B46" s="50"/>
      <c r="C46" s="50"/>
      <c r="D46" s="50"/>
      <c r="E46" s="50"/>
      <c r="F46" s="50"/>
      <c r="G46" s="50"/>
      <c r="H46" s="50"/>
      <c r="I46" s="50"/>
    </row>
    <row r="47" spans="1:9" ht="12.9" customHeight="1">
      <c r="A47" s="5"/>
      <c r="B47" s="5"/>
      <c r="C47" s="51" t="s">
        <v>1618</v>
      </c>
      <c r="D47" s="51"/>
      <c r="E47" s="51"/>
      <c r="F47" s="51"/>
      <c r="G47" s="5"/>
      <c r="H47" s="5"/>
      <c r="I47" s="5"/>
    </row>
    <row r="48" spans="1:9" ht="12.9" customHeight="1">
      <c r="A48" s="5"/>
      <c r="B48" s="38" t="s">
        <v>103</v>
      </c>
      <c r="C48" s="51" t="s">
        <v>104</v>
      </c>
      <c r="D48" s="51"/>
      <c r="E48" s="51"/>
      <c r="F48" s="51"/>
      <c r="G48" s="5"/>
      <c r="H48" s="5"/>
      <c r="I48" s="5"/>
    </row>
    <row r="49" spans="1:9" ht="135" customHeight="1">
      <c r="A49" s="5"/>
      <c r="B49" s="39"/>
      <c r="C49" s="52"/>
      <c r="D49" s="52"/>
      <c r="E49" s="5"/>
      <c r="F49" s="5"/>
      <c r="G49" s="5"/>
      <c r="H49" s="5"/>
      <c r="I49" s="5"/>
    </row>
  </sheetData>
  <mergeCells count="8">
    <mergeCell ref="C47:F47"/>
    <mergeCell ref="C48:F48"/>
    <mergeCell ref="C49:D49"/>
    <mergeCell ref="B42:I42"/>
    <mergeCell ref="B43:I43"/>
    <mergeCell ref="B44:F44"/>
    <mergeCell ref="B45:I45"/>
    <mergeCell ref="B46:I46"/>
  </mergeCells>
  <hyperlinks>
    <hyperlink ref="A1" location="AxisCRISILIBXFinancialServices36MonthsDebtIndexFund" display="AXISFSD" xr:uid="{00000000-0004-0000-1E00-000000000000}"/>
    <hyperlink ref="B1" location="AxisCRISILIBXFinancialServices36MonthsDebtIndexFund" display="Axis CRISIL-IBX Financial Services 3-6 Months Debt Index Fund" xr:uid="{00000000-0004-0000-1E00-000001000000}"/>
  </hyperlinks>
  <pageMargins left="0" right="0" top="0" bottom="0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/>
  </sheetPr>
  <dimension ref="A1:I25"/>
  <sheetViews>
    <sheetView workbookViewId="0">
      <selection activeCell="B21" sqref="B21:I21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33</v>
      </c>
      <c r="B1" s="4" t="s">
        <v>34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285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286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1620</v>
      </c>
      <c r="B7" s="18" t="s">
        <v>1621</v>
      </c>
      <c r="C7" s="14" t="s">
        <v>1622</v>
      </c>
      <c r="D7" s="14"/>
      <c r="E7" s="19">
        <v>78971028.246999994</v>
      </c>
      <c r="F7" s="20">
        <v>8718.0066999999999</v>
      </c>
      <c r="G7" s="21">
        <v>0.61009999999999998</v>
      </c>
      <c r="H7" s="30"/>
      <c r="I7" s="23"/>
    </row>
    <row r="8" spans="1:9" ht="12.9" customHeight="1">
      <c r="A8" s="17" t="s">
        <v>290</v>
      </c>
      <c r="B8" s="18" t="s">
        <v>291</v>
      </c>
      <c r="C8" s="14" t="s">
        <v>292</v>
      </c>
      <c r="D8" s="14"/>
      <c r="E8" s="19">
        <v>25542930.322000001</v>
      </c>
      <c r="F8" s="20">
        <v>5332.2143999999998</v>
      </c>
      <c r="G8" s="21">
        <v>0.37319999999999998</v>
      </c>
      <c r="H8" s="30"/>
      <c r="I8" s="23"/>
    </row>
    <row r="9" spans="1:9" ht="12.9" customHeight="1">
      <c r="A9" s="5"/>
      <c r="B9" s="13" t="s">
        <v>88</v>
      </c>
      <c r="C9" s="14"/>
      <c r="D9" s="14"/>
      <c r="E9" s="14"/>
      <c r="F9" s="24">
        <v>14050.221100000001</v>
      </c>
      <c r="G9" s="25">
        <v>0.98329999999999995</v>
      </c>
      <c r="H9" s="26"/>
      <c r="I9" s="27"/>
    </row>
    <row r="10" spans="1:9" ht="12.9" customHeight="1">
      <c r="A10" s="5"/>
      <c r="B10" s="28" t="s">
        <v>91</v>
      </c>
      <c r="C10" s="29"/>
      <c r="D10" s="2"/>
      <c r="E10" s="29"/>
      <c r="F10" s="24">
        <v>14050.221100000001</v>
      </c>
      <c r="G10" s="25">
        <v>0.98329999999999995</v>
      </c>
      <c r="H10" s="26"/>
      <c r="I10" s="27"/>
    </row>
    <row r="11" spans="1:9" ht="12.9" customHeight="1">
      <c r="A11" s="5"/>
      <c r="B11" s="13" t="s">
        <v>92</v>
      </c>
      <c r="C11" s="14"/>
      <c r="D11" s="14"/>
      <c r="E11" s="14"/>
      <c r="F11" s="14"/>
      <c r="G11" s="14"/>
      <c r="H11" s="15"/>
      <c r="I11" s="16"/>
    </row>
    <row r="12" spans="1:9" ht="12.9" customHeight="1">
      <c r="A12" s="17" t="s">
        <v>93</v>
      </c>
      <c r="B12" s="18" t="s">
        <v>94</v>
      </c>
      <c r="C12" s="14"/>
      <c r="D12" s="14"/>
      <c r="E12" s="19"/>
      <c r="F12" s="20">
        <v>482.47</v>
      </c>
      <c r="G12" s="21">
        <v>3.3799999999999997E-2</v>
      </c>
      <c r="H12" s="22">
        <v>5.0765186507652341E-2</v>
      </c>
      <c r="I12" s="23"/>
    </row>
    <row r="13" spans="1:9" ht="12.9" customHeight="1">
      <c r="A13" s="5"/>
      <c r="B13" s="13" t="s">
        <v>88</v>
      </c>
      <c r="C13" s="14"/>
      <c r="D13" s="14"/>
      <c r="E13" s="14"/>
      <c r="F13" s="24">
        <v>482.47</v>
      </c>
      <c r="G13" s="25">
        <v>3.3799999999999997E-2</v>
      </c>
      <c r="H13" s="26"/>
      <c r="I13" s="27"/>
    </row>
    <row r="14" spans="1:9" ht="12.9" customHeight="1">
      <c r="A14" s="5"/>
      <c r="B14" s="28" t="s">
        <v>91</v>
      </c>
      <c r="C14" s="29"/>
      <c r="D14" s="2"/>
      <c r="E14" s="29"/>
      <c r="F14" s="24">
        <v>482.47</v>
      </c>
      <c r="G14" s="25">
        <v>3.3799999999999997E-2</v>
      </c>
      <c r="H14" s="26"/>
      <c r="I14" s="27"/>
    </row>
    <row r="15" spans="1:9" ht="12.9" customHeight="1">
      <c r="A15" s="5"/>
      <c r="B15" s="28" t="s">
        <v>96</v>
      </c>
      <c r="C15" s="14"/>
      <c r="D15" s="2"/>
      <c r="E15" s="14"/>
      <c r="F15" s="31">
        <v>-244.1311</v>
      </c>
      <c r="G15" s="25">
        <v>-1.7100000000000001E-2</v>
      </c>
      <c r="H15" s="26"/>
      <c r="I15" s="27"/>
    </row>
    <row r="16" spans="1:9" ht="12.9" customHeight="1">
      <c r="A16" s="5"/>
      <c r="B16" s="32" t="s">
        <v>97</v>
      </c>
      <c r="C16" s="33"/>
      <c r="D16" s="33"/>
      <c r="E16" s="33"/>
      <c r="F16" s="34">
        <v>14288.56</v>
      </c>
      <c r="G16" s="35">
        <v>1</v>
      </c>
      <c r="H16" s="36"/>
      <c r="I16" s="37"/>
    </row>
    <row r="17" spans="1:9" ht="12.9" customHeight="1">
      <c r="A17" s="5"/>
      <c r="B17" s="7"/>
      <c r="C17" s="5"/>
      <c r="D17" s="5"/>
      <c r="E17" s="5"/>
      <c r="F17" s="5"/>
      <c r="G17" s="5"/>
      <c r="H17" s="5"/>
      <c r="I17" s="5"/>
    </row>
    <row r="18" spans="1:9" ht="12.9" customHeight="1">
      <c r="A18" s="5"/>
      <c r="B18" s="4" t="s">
        <v>99</v>
      </c>
      <c r="C18" s="5"/>
      <c r="D18" s="5"/>
      <c r="E18" s="5"/>
      <c r="F18" s="5"/>
      <c r="G18" s="5"/>
      <c r="H18" s="5"/>
      <c r="I18" s="5"/>
    </row>
    <row r="19" spans="1:9" ht="26.1" customHeight="1">
      <c r="A19" s="5"/>
      <c r="B19" s="50" t="s">
        <v>100</v>
      </c>
      <c r="C19" s="50"/>
      <c r="D19" s="50"/>
      <c r="E19" s="50"/>
      <c r="F19" s="50"/>
      <c r="G19" s="50"/>
      <c r="H19" s="50"/>
      <c r="I19" s="50"/>
    </row>
    <row r="20" spans="1:9" ht="12.9" customHeight="1">
      <c r="A20" s="5"/>
      <c r="B20" s="50" t="s">
        <v>101</v>
      </c>
      <c r="C20" s="50"/>
      <c r="D20" s="50"/>
      <c r="E20" s="50"/>
      <c r="F20" s="50"/>
      <c r="G20" s="50"/>
      <c r="H20" s="50"/>
      <c r="I20" s="50"/>
    </row>
    <row r="21" spans="1:9" ht="12.9" customHeight="1">
      <c r="A21" s="5"/>
      <c r="B21" s="50"/>
      <c r="C21" s="50"/>
      <c r="D21" s="50"/>
      <c r="E21" s="50"/>
      <c r="F21" s="50"/>
      <c r="G21" s="50"/>
      <c r="H21" s="50"/>
      <c r="I21" s="50"/>
    </row>
    <row r="22" spans="1:9" ht="12.9" customHeight="1">
      <c r="A22" s="5"/>
      <c r="B22" s="50"/>
      <c r="C22" s="50"/>
      <c r="D22" s="50"/>
      <c r="E22" s="50"/>
      <c r="F22" s="50"/>
      <c r="G22" s="50"/>
      <c r="H22" s="50"/>
      <c r="I22" s="50"/>
    </row>
    <row r="23" spans="1:9" ht="12.9" customHeight="1">
      <c r="A23" s="5"/>
      <c r="B23" s="5"/>
      <c r="C23" s="51" t="s">
        <v>1623</v>
      </c>
      <c r="D23" s="51"/>
      <c r="E23" s="51"/>
      <c r="F23" s="51"/>
      <c r="G23" s="5"/>
      <c r="H23" s="5"/>
      <c r="I23" s="5"/>
    </row>
    <row r="24" spans="1:9" ht="12.9" customHeight="1">
      <c r="A24" s="5"/>
      <c r="B24" s="38" t="s">
        <v>103</v>
      </c>
      <c r="C24" s="51" t="s">
        <v>104</v>
      </c>
      <c r="D24" s="51"/>
      <c r="E24" s="51"/>
      <c r="F24" s="51"/>
      <c r="G24" s="5"/>
      <c r="H24" s="5"/>
      <c r="I24" s="5"/>
    </row>
    <row r="25" spans="1:9" ht="135" customHeight="1">
      <c r="A25" s="5"/>
      <c r="B25" s="39"/>
      <c r="C25" s="52"/>
      <c r="D25" s="52"/>
      <c r="E25" s="5"/>
      <c r="F25" s="5"/>
      <c r="G25" s="5"/>
      <c r="H25" s="5"/>
      <c r="I25" s="5"/>
    </row>
  </sheetData>
  <mergeCells count="7">
    <mergeCell ref="B22:I22"/>
    <mergeCell ref="C23:F23"/>
    <mergeCell ref="C24:F24"/>
    <mergeCell ref="C25:D25"/>
    <mergeCell ref="B19:I19"/>
    <mergeCell ref="B20:I20"/>
    <mergeCell ref="B21:I21"/>
  </mergeCells>
  <hyperlinks>
    <hyperlink ref="A1" location="AxisIncomePlusArbitragePassiveFOF" display="AXISIAP" xr:uid="{00000000-0004-0000-2600-000000000000}"/>
    <hyperlink ref="B1" location="AxisIncomePlusArbitragePassiveFOF" display="Axis Income Plus Arbitrage Passive FOF" xr:uid="{00000000-0004-0000-2600-000001000000}"/>
  </hyperlinks>
  <pageMargins left="0" right="0" top="0" bottom="0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/>
  </sheetPr>
  <dimension ref="A1:I122"/>
  <sheetViews>
    <sheetView topLeftCell="A97" workbookViewId="0">
      <selection activeCell="A25" sqref="A25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35</v>
      </c>
      <c r="B1" s="4" t="s">
        <v>36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148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149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1410</v>
      </c>
      <c r="B7" s="18" t="s">
        <v>1411</v>
      </c>
      <c r="C7" s="14" t="s">
        <v>1412</v>
      </c>
      <c r="D7" s="14" t="s">
        <v>259</v>
      </c>
      <c r="E7" s="19">
        <v>630168</v>
      </c>
      <c r="F7" s="20">
        <v>793.88559999999995</v>
      </c>
      <c r="G7" s="21">
        <v>3.8999999999999998E-3</v>
      </c>
      <c r="H7" s="30"/>
      <c r="I7" s="23"/>
    </row>
    <row r="8" spans="1:9" ht="12.9" customHeight="1">
      <c r="A8" s="17" t="s">
        <v>1487</v>
      </c>
      <c r="B8" s="18" t="s">
        <v>1488</v>
      </c>
      <c r="C8" s="14" t="s">
        <v>1489</v>
      </c>
      <c r="D8" s="14" t="s">
        <v>259</v>
      </c>
      <c r="E8" s="19">
        <v>26120</v>
      </c>
      <c r="F8" s="20">
        <v>114.9567</v>
      </c>
      <c r="G8" s="21">
        <v>5.9999999999999995E-4</v>
      </c>
      <c r="H8" s="30"/>
      <c r="I8" s="23"/>
    </row>
    <row r="9" spans="1:9" ht="12.9" customHeight="1">
      <c r="A9" s="17" t="s">
        <v>883</v>
      </c>
      <c r="B9" s="18" t="s">
        <v>884</v>
      </c>
      <c r="C9" s="14" t="s">
        <v>885</v>
      </c>
      <c r="D9" s="14" t="s">
        <v>212</v>
      </c>
      <c r="E9" s="19">
        <v>97180</v>
      </c>
      <c r="F9" s="20">
        <v>114.7307</v>
      </c>
      <c r="G9" s="21">
        <v>5.9999999999999995E-4</v>
      </c>
      <c r="H9" s="30"/>
      <c r="I9" s="23"/>
    </row>
    <row r="10" spans="1:9" ht="12.9" customHeight="1">
      <c r="A10" s="5"/>
      <c r="B10" s="13" t="s">
        <v>88</v>
      </c>
      <c r="C10" s="14"/>
      <c r="D10" s="14"/>
      <c r="E10" s="14"/>
      <c r="F10" s="24">
        <v>1023.5731</v>
      </c>
      <c r="G10" s="25">
        <v>5.0000000000000001E-3</v>
      </c>
      <c r="H10" s="26"/>
      <c r="I10" s="27"/>
    </row>
    <row r="11" spans="1:9" ht="12.9" customHeight="1">
      <c r="A11" s="5"/>
      <c r="B11" s="28" t="s">
        <v>284</v>
      </c>
      <c r="C11" s="2"/>
      <c r="D11" s="2"/>
      <c r="E11" s="2"/>
      <c r="F11" s="26" t="s">
        <v>90</v>
      </c>
      <c r="G11" s="26" t="s">
        <v>90</v>
      </c>
      <c r="H11" s="26"/>
      <c r="I11" s="27"/>
    </row>
    <row r="12" spans="1:9" ht="12.9" customHeight="1">
      <c r="A12" s="5"/>
      <c r="B12" s="28" t="s">
        <v>88</v>
      </c>
      <c r="C12" s="2"/>
      <c r="D12" s="2"/>
      <c r="E12" s="2"/>
      <c r="F12" s="26" t="s">
        <v>90</v>
      </c>
      <c r="G12" s="26" t="s">
        <v>90</v>
      </c>
      <c r="H12" s="26"/>
      <c r="I12" s="27"/>
    </row>
    <row r="13" spans="1:9" ht="12.9" customHeight="1">
      <c r="A13" s="5"/>
      <c r="B13" s="28" t="s">
        <v>91</v>
      </c>
      <c r="C13" s="29"/>
      <c r="D13" s="2"/>
      <c r="E13" s="29"/>
      <c r="F13" s="24">
        <v>1023.5731</v>
      </c>
      <c r="G13" s="25">
        <v>5.0000000000000001E-3</v>
      </c>
      <c r="H13" s="26"/>
      <c r="I13" s="27"/>
    </row>
    <row r="14" spans="1:9" ht="12.9" customHeight="1">
      <c r="A14" s="5"/>
      <c r="B14" s="13" t="s">
        <v>316</v>
      </c>
      <c r="C14" s="14"/>
      <c r="D14" s="14"/>
      <c r="E14" s="14"/>
      <c r="F14" s="14"/>
      <c r="G14" s="14"/>
      <c r="H14" s="15"/>
      <c r="I14" s="16"/>
    </row>
    <row r="15" spans="1:9" ht="12.9" customHeight="1">
      <c r="A15" s="5"/>
      <c r="B15" s="13" t="s">
        <v>317</v>
      </c>
      <c r="C15" s="14"/>
      <c r="D15" s="14"/>
      <c r="E15" s="14"/>
      <c r="F15" s="5"/>
      <c r="G15" s="15"/>
      <c r="H15" s="15"/>
      <c r="I15" s="16"/>
    </row>
    <row r="16" spans="1:9" ht="12.9" customHeight="1">
      <c r="A16" s="17" t="s">
        <v>1624</v>
      </c>
      <c r="B16" s="18" t="s">
        <v>1625</v>
      </c>
      <c r="C16" s="14"/>
      <c r="D16" s="14"/>
      <c r="E16" s="19"/>
      <c r="F16" s="20">
        <v>-3.4950000000000001</v>
      </c>
      <c r="G16" s="30" t="s">
        <v>95</v>
      </c>
      <c r="H16" s="30"/>
      <c r="I16" s="23"/>
    </row>
    <row r="17" spans="1:9" ht="12.9" customHeight="1">
      <c r="A17" s="5"/>
      <c r="B17" s="13" t="s">
        <v>88</v>
      </c>
      <c r="C17" s="14"/>
      <c r="D17" s="14"/>
      <c r="E17" s="14"/>
      <c r="F17" s="24">
        <v>-3.4950000000000001</v>
      </c>
      <c r="G17" s="26" t="s">
        <v>95</v>
      </c>
      <c r="H17" s="26"/>
      <c r="I17" s="27"/>
    </row>
    <row r="18" spans="1:9" ht="12.9" customHeight="1">
      <c r="A18" s="5"/>
      <c r="B18" s="28" t="s">
        <v>91</v>
      </c>
      <c r="C18" s="29"/>
      <c r="D18" s="2"/>
      <c r="E18" s="29"/>
      <c r="F18" s="24">
        <v>-3.4950000000000001</v>
      </c>
      <c r="G18" s="26" t="s">
        <v>95</v>
      </c>
      <c r="H18" s="26"/>
      <c r="I18" s="27"/>
    </row>
    <row r="19" spans="1:9" ht="12.9" customHeight="1">
      <c r="A19" s="5"/>
      <c r="B19" s="13" t="s">
        <v>79</v>
      </c>
      <c r="C19" s="14"/>
      <c r="D19" s="14"/>
      <c r="E19" s="14"/>
      <c r="F19" s="14"/>
      <c r="G19" s="14"/>
      <c r="H19" s="15"/>
      <c r="I19" s="16"/>
    </row>
    <row r="20" spans="1:9" ht="12.9" customHeight="1">
      <c r="A20" s="5"/>
      <c r="B20" s="13" t="s">
        <v>80</v>
      </c>
      <c r="C20" s="14"/>
      <c r="D20" s="14"/>
      <c r="E20" s="14"/>
      <c r="F20" s="5"/>
      <c r="G20" s="15"/>
      <c r="H20" s="15"/>
      <c r="I20" s="16"/>
    </row>
    <row r="21" spans="1:9" ht="12.9" customHeight="1">
      <c r="A21" s="17" t="s">
        <v>1173</v>
      </c>
      <c r="B21" s="18" t="s">
        <v>1174</v>
      </c>
      <c r="C21" s="14" t="s">
        <v>1175</v>
      </c>
      <c r="D21" s="14" t="s">
        <v>84</v>
      </c>
      <c r="E21" s="19">
        <v>12500000</v>
      </c>
      <c r="F21" s="20">
        <v>12268.737499999999</v>
      </c>
      <c r="G21" s="21">
        <v>5.96E-2</v>
      </c>
      <c r="H21" s="22">
        <v>6.7049999999999998E-2</v>
      </c>
      <c r="I21" s="23"/>
    </row>
    <row r="22" spans="1:9" ht="12.9" customHeight="1">
      <c r="A22" s="17" t="s">
        <v>889</v>
      </c>
      <c r="B22" s="18" t="s">
        <v>890</v>
      </c>
      <c r="C22" s="14" t="s">
        <v>891</v>
      </c>
      <c r="D22" s="14" t="s">
        <v>84</v>
      </c>
      <c r="E22" s="19">
        <v>11200000</v>
      </c>
      <c r="F22" s="20">
        <v>11513.6</v>
      </c>
      <c r="G22" s="21">
        <v>5.5899999999999998E-2</v>
      </c>
      <c r="H22" s="22">
        <v>6.7644999999999997E-2</v>
      </c>
      <c r="I22" s="23"/>
    </row>
    <row r="23" spans="1:9" ht="12.9" customHeight="1">
      <c r="A23" s="17" t="s">
        <v>973</v>
      </c>
      <c r="B23" s="18" t="s">
        <v>974</v>
      </c>
      <c r="C23" s="14" t="s">
        <v>975</v>
      </c>
      <c r="D23" s="14" t="s">
        <v>84</v>
      </c>
      <c r="E23" s="19">
        <v>8300000</v>
      </c>
      <c r="F23" s="20">
        <v>8232.9609</v>
      </c>
      <c r="G23" s="21">
        <v>0.04</v>
      </c>
      <c r="H23" s="22">
        <v>6.7000000000000004E-2</v>
      </c>
      <c r="I23" s="23"/>
    </row>
    <row r="24" spans="1:9" ht="12.9" customHeight="1">
      <c r="A24" s="17" t="s">
        <v>1546</v>
      </c>
      <c r="B24" s="18" t="s">
        <v>1547</v>
      </c>
      <c r="C24" s="14" t="s">
        <v>1548</v>
      </c>
      <c r="D24" s="14" t="s">
        <v>1545</v>
      </c>
      <c r="E24" s="19">
        <v>6500</v>
      </c>
      <c r="F24" s="20">
        <v>6908.8694999999998</v>
      </c>
      <c r="G24" s="21">
        <v>3.3500000000000002E-2</v>
      </c>
      <c r="H24" s="22">
        <v>8.3376000000000006E-2</v>
      </c>
      <c r="I24" s="23"/>
    </row>
    <row r="25" spans="1:9" ht="12.9" customHeight="1">
      <c r="A25" s="17" t="s">
        <v>1422</v>
      </c>
      <c r="B25" s="18" t="s">
        <v>1423</v>
      </c>
      <c r="C25" s="14" t="s">
        <v>1424</v>
      </c>
      <c r="D25" s="14" t="s">
        <v>1448</v>
      </c>
      <c r="E25" s="19">
        <v>6500</v>
      </c>
      <c r="F25" s="20">
        <v>6538.9804999999997</v>
      </c>
      <c r="G25" s="21">
        <v>3.1699999999999999E-2</v>
      </c>
      <c r="H25" s="22">
        <v>8.7349999999999997E-2</v>
      </c>
      <c r="I25" s="23"/>
    </row>
    <row r="26" spans="1:9" ht="12.9" customHeight="1">
      <c r="A26" s="17" t="s">
        <v>1626</v>
      </c>
      <c r="B26" s="18" t="s">
        <v>1627</v>
      </c>
      <c r="C26" s="14" t="s">
        <v>1628</v>
      </c>
      <c r="D26" s="14" t="s">
        <v>84</v>
      </c>
      <c r="E26" s="19">
        <v>6358600</v>
      </c>
      <c r="F26" s="20">
        <v>6360.2596000000003</v>
      </c>
      <c r="G26" s="21">
        <v>3.09E-2</v>
      </c>
      <c r="H26" s="22">
        <v>7.3037000000000005E-2</v>
      </c>
      <c r="I26" s="23"/>
    </row>
    <row r="27" spans="1:9" ht="12.9" customHeight="1">
      <c r="A27" s="17" t="s">
        <v>1494</v>
      </c>
      <c r="B27" s="18" t="s">
        <v>1495</v>
      </c>
      <c r="C27" s="14" t="s">
        <v>1496</v>
      </c>
      <c r="D27" s="14" t="s">
        <v>1437</v>
      </c>
      <c r="E27" s="19">
        <v>6000</v>
      </c>
      <c r="F27" s="20">
        <v>6014.8739999999998</v>
      </c>
      <c r="G27" s="21">
        <v>2.92E-2</v>
      </c>
      <c r="H27" s="22">
        <v>9.1339500000000004E-2</v>
      </c>
      <c r="I27" s="23"/>
    </row>
    <row r="28" spans="1:9" ht="12.9" customHeight="1">
      <c r="A28" s="17" t="s">
        <v>1629</v>
      </c>
      <c r="B28" s="18" t="s">
        <v>1630</v>
      </c>
      <c r="C28" s="14" t="s">
        <v>1631</v>
      </c>
      <c r="D28" s="14" t="s">
        <v>1504</v>
      </c>
      <c r="E28" s="19">
        <v>5800</v>
      </c>
      <c r="F28" s="20">
        <v>5819.1747999999998</v>
      </c>
      <c r="G28" s="21">
        <v>2.8299999999999999E-2</v>
      </c>
      <c r="H28" s="22">
        <v>8.5171999999999998E-2</v>
      </c>
      <c r="I28" s="23"/>
    </row>
    <row r="29" spans="1:9" ht="12.9" customHeight="1">
      <c r="A29" s="17" t="s">
        <v>1632</v>
      </c>
      <c r="B29" s="18" t="s">
        <v>1633</v>
      </c>
      <c r="C29" s="14" t="s">
        <v>1634</v>
      </c>
      <c r="D29" s="14" t="s">
        <v>1437</v>
      </c>
      <c r="E29" s="19">
        <v>5500</v>
      </c>
      <c r="F29" s="20">
        <v>5646.9875000000002</v>
      </c>
      <c r="G29" s="21">
        <v>2.7400000000000001E-2</v>
      </c>
      <c r="H29" s="22">
        <v>9.0300000000000005E-2</v>
      </c>
      <c r="I29" s="23"/>
    </row>
    <row r="30" spans="1:9" ht="12.9" customHeight="1">
      <c r="A30" s="17" t="s">
        <v>329</v>
      </c>
      <c r="B30" s="18" t="s">
        <v>330</v>
      </c>
      <c r="C30" s="14" t="s">
        <v>331</v>
      </c>
      <c r="D30" s="14" t="s">
        <v>84</v>
      </c>
      <c r="E30" s="19">
        <v>5531900</v>
      </c>
      <c r="F30" s="20">
        <v>5580.0994000000001</v>
      </c>
      <c r="G30" s="21">
        <v>2.7099999999999999E-2</v>
      </c>
      <c r="H30" s="22">
        <v>6.7664000000000002E-2</v>
      </c>
      <c r="I30" s="23"/>
    </row>
    <row r="31" spans="1:9" ht="12.9" customHeight="1">
      <c r="A31" s="17" t="s">
        <v>909</v>
      </c>
      <c r="B31" s="18" t="s">
        <v>910</v>
      </c>
      <c r="C31" s="14" t="s">
        <v>911</v>
      </c>
      <c r="D31" s="14" t="s">
        <v>912</v>
      </c>
      <c r="E31" s="19">
        <v>5500</v>
      </c>
      <c r="F31" s="20">
        <v>5514.2285000000002</v>
      </c>
      <c r="G31" s="21">
        <v>2.6800000000000001E-2</v>
      </c>
      <c r="H31" s="22">
        <v>8.5789000000000004E-2</v>
      </c>
      <c r="I31" s="23"/>
    </row>
    <row r="32" spans="1:9" ht="12.9" customHeight="1">
      <c r="A32" s="17" t="s">
        <v>1635</v>
      </c>
      <c r="B32" s="18" t="s">
        <v>1636</v>
      </c>
      <c r="C32" s="14" t="s">
        <v>1637</v>
      </c>
      <c r="D32" s="14" t="s">
        <v>1437</v>
      </c>
      <c r="E32" s="19">
        <v>5200</v>
      </c>
      <c r="F32" s="20">
        <v>5279.3936000000003</v>
      </c>
      <c r="G32" s="21">
        <v>2.5600000000000001E-2</v>
      </c>
      <c r="H32" s="22">
        <v>7.6600000000000001E-2</v>
      </c>
      <c r="I32" s="23"/>
    </row>
    <row r="33" spans="1:9" ht="12.9" customHeight="1">
      <c r="A33" s="17" t="s">
        <v>1638</v>
      </c>
      <c r="B33" s="18" t="s">
        <v>1639</v>
      </c>
      <c r="C33" s="14" t="s">
        <v>1640</v>
      </c>
      <c r="D33" s="14" t="s">
        <v>1545</v>
      </c>
      <c r="E33" s="19">
        <v>5000</v>
      </c>
      <c r="F33" s="20">
        <v>5041.91</v>
      </c>
      <c r="G33" s="21">
        <v>2.4500000000000001E-2</v>
      </c>
      <c r="H33" s="22">
        <v>7.6899999999999996E-2</v>
      </c>
      <c r="I33" s="23"/>
    </row>
    <row r="34" spans="1:9" ht="12.9" customHeight="1">
      <c r="A34" s="17" t="s">
        <v>1511</v>
      </c>
      <c r="B34" s="18" t="s">
        <v>1512</v>
      </c>
      <c r="C34" s="14" t="s">
        <v>1513</v>
      </c>
      <c r="D34" s="14" t="s">
        <v>1493</v>
      </c>
      <c r="E34" s="19">
        <v>4500</v>
      </c>
      <c r="F34" s="20">
        <v>4476.1724999999997</v>
      </c>
      <c r="G34" s="21">
        <v>2.1700000000000001E-2</v>
      </c>
      <c r="H34" s="22">
        <v>0.10335</v>
      </c>
      <c r="I34" s="23"/>
    </row>
    <row r="35" spans="1:9" ht="12.9" customHeight="1">
      <c r="A35" s="17" t="s">
        <v>1641</v>
      </c>
      <c r="B35" s="18" t="s">
        <v>1642</v>
      </c>
      <c r="C35" s="14" t="s">
        <v>1643</v>
      </c>
      <c r="D35" s="14" t="s">
        <v>1437</v>
      </c>
      <c r="E35" s="19">
        <v>4200</v>
      </c>
      <c r="F35" s="20">
        <v>4197.9672</v>
      </c>
      <c r="G35" s="21">
        <v>2.0400000000000001E-2</v>
      </c>
      <c r="H35" s="22">
        <v>8.2502000000000006E-2</v>
      </c>
      <c r="I35" s="23"/>
    </row>
    <row r="36" spans="1:9" ht="12.9" customHeight="1">
      <c r="A36" s="17" t="s">
        <v>1501</v>
      </c>
      <c r="B36" s="18" t="s">
        <v>1502</v>
      </c>
      <c r="C36" s="14" t="s">
        <v>1503</v>
      </c>
      <c r="D36" s="14" t="s">
        <v>1504</v>
      </c>
      <c r="E36" s="19">
        <v>5000</v>
      </c>
      <c r="F36" s="20">
        <v>4056.1550000000002</v>
      </c>
      <c r="G36" s="21">
        <v>1.9699999999999999E-2</v>
      </c>
      <c r="H36" s="22">
        <v>9.5002000000000003E-2</v>
      </c>
      <c r="I36" s="23"/>
    </row>
    <row r="37" spans="1:9" ht="12.9" customHeight="1">
      <c r="A37" s="17" t="s">
        <v>1497</v>
      </c>
      <c r="B37" s="18" t="s">
        <v>1498</v>
      </c>
      <c r="C37" s="14" t="s">
        <v>1499</v>
      </c>
      <c r="D37" s="14" t="s">
        <v>1500</v>
      </c>
      <c r="E37" s="19">
        <v>4000</v>
      </c>
      <c r="F37" s="20">
        <v>4050.192</v>
      </c>
      <c r="G37" s="21">
        <v>1.9699999999999999E-2</v>
      </c>
      <c r="H37" s="22">
        <v>9.9597000000000005E-2</v>
      </c>
      <c r="I37" s="23"/>
    </row>
    <row r="38" spans="1:9" ht="12.9" customHeight="1">
      <c r="A38" s="17" t="s">
        <v>1644</v>
      </c>
      <c r="B38" s="18" t="s">
        <v>1645</v>
      </c>
      <c r="C38" s="14" t="s">
        <v>1646</v>
      </c>
      <c r="D38" s="14" t="s">
        <v>1647</v>
      </c>
      <c r="E38" s="19">
        <v>4000</v>
      </c>
      <c r="F38" s="20">
        <v>3997.8960000000002</v>
      </c>
      <c r="G38" s="21">
        <v>1.9400000000000001E-2</v>
      </c>
      <c r="H38" s="22">
        <v>9.8763000000000004E-2</v>
      </c>
      <c r="I38" s="23"/>
    </row>
    <row r="39" spans="1:9" ht="12.9" customHeight="1">
      <c r="A39" s="17" t="s">
        <v>1490</v>
      </c>
      <c r="B39" s="18" t="s">
        <v>1491</v>
      </c>
      <c r="C39" s="14" t="s">
        <v>1492</v>
      </c>
      <c r="D39" s="14" t="s">
        <v>1493</v>
      </c>
      <c r="E39" s="19">
        <v>4000</v>
      </c>
      <c r="F39" s="20">
        <v>3951.04</v>
      </c>
      <c r="G39" s="21">
        <v>1.9199999999999998E-2</v>
      </c>
      <c r="H39" s="22">
        <v>0.1022</v>
      </c>
      <c r="I39" s="23"/>
    </row>
    <row r="40" spans="1:9" ht="12.9" customHeight="1">
      <c r="A40" s="17" t="s">
        <v>1648</v>
      </c>
      <c r="B40" s="18" t="s">
        <v>1649</v>
      </c>
      <c r="C40" s="14" t="s">
        <v>1650</v>
      </c>
      <c r="D40" s="14" t="s">
        <v>1545</v>
      </c>
      <c r="E40" s="19">
        <v>3500</v>
      </c>
      <c r="F40" s="20">
        <v>3597.8494999999998</v>
      </c>
      <c r="G40" s="21">
        <v>1.7500000000000002E-2</v>
      </c>
      <c r="H40" s="22">
        <v>8.1049999999999997E-2</v>
      </c>
      <c r="I40" s="23"/>
    </row>
    <row r="41" spans="1:9" ht="12.9" customHeight="1">
      <c r="A41" s="17" t="s">
        <v>1651</v>
      </c>
      <c r="B41" s="18" t="s">
        <v>1652</v>
      </c>
      <c r="C41" s="14" t="s">
        <v>1653</v>
      </c>
      <c r="D41" s="14" t="s">
        <v>1545</v>
      </c>
      <c r="E41" s="19">
        <v>3500</v>
      </c>
      <c r="F41" s="20">
        <v>3539.375</v>
      </c>
      <c r="G41" s="21">
        <v>1.72E-2</v>
      </c>
      <c r="H41" s="22">
        <v>7.8600000000000003E-2</v>
      </c>
      <c r="I41" s="23"/>
    </row>
    <row r="42" spans="1:9" ht="12.9" customHeight="1">
      <c r="A42" s="17" t="s">
        <v>1654</v>
      </c>
      <c r="B42" s="18" t="s">
        <v>1655</v>
      </c>
      <c r="C42" s="14" t="s">
        <v>1656</v>
      </c>
      <c r="D42" s="14" t="s">
        <v>1657</v>
      </c>
      <c r="E42" s="19">
        <v>3500</v>
      </c>
      <c r="F42" s="20">
        <v>3508.0255000000002</v>
      </c>
      <c r="G42" s="21">
        <v>1.7000000000000001E-2</v>
      </c>
      <c r="H42" s="22">
        <v>9.1544E-2</v>
      </c>
      <c r="I42" s="23"/>
    </row>
    <row r="43" spans="1:9" ht="12.9" customHeight="1">
      <c r="A43" s="17" t="s">
        <v>1658</v>
      </c>
      <c r="B43" s="18" t="s">
        <v>1659</v>
      </c>
      <c r="C43" s="14" t="s">
        <v>1660</v>
      </c>
      <c r="D43" s="14" t="s">
        <v>899</v>
      </c>
      <c r="E43" s="19">
        <v>3200</v>
      </c>
      <c r="F43" s="20">
        <v>3200.3935999999999</v>
      </c>
      <c r="G43" s="21">
        <v>1.55E-2</v>
      </c>
      <c r="H43" s="22">
        <v>9.5033999999999993E-2</v>
      </c>
      <c r="I43" s="23"/>
    </row>
    <row r="44" spans="1:9" ht="12.9" customHeight="1">
      <c r="A44" s="17" t="s">
        <v>1542</v>
      </c>
      <c r="B44" s="18" t="s">
        <v>1543</v>
      </c>
      <c r="C44" s="14" t="s">
        <v>1544</v>
      </c>
      <c r="D44" s="14" t="s">
        <v>1545</v>
      </c>
      <c r="E44" s="19">
        <v>3000</v>
      </c>
      <c r="F44" s="20">
        <v>3198.9389999999999</v>
      </c>
      <c r="G44" s="21">
        <v>1.55E-2</v>
      </c>
      <c r="H44" s="22">
        <v>8.3776000000000003E-2</v>
      </c>
      <c r="I44" s="23"/>
    </row>
    <row r="45" spans="1:9" ht="12.9" customHeight="1">
      <c r="A45" s="17" t="s">
        <v>1661</v>
      </c>
      <c r="B45" s="18" t="s">
        <v>1662</v>
      </c>
      <c r="C45" s="14" t="s">
        <v>1663</v>
      </c>
      <c r="D45" s="14" t="s">
        <v>109</v>
      </c>
      <c r="E45" s="19">
        <v>3000</v>
      </c>
      <c r="F45" s="20">
        <v>3078.8249999999998</v>
      </c>
      <c r="G45" s="21">
        <v>1.49E-2</v>
      </c>
      <c r="H45" s="22">
        <v>7.3058999999999999E-2</v>
      </c>
      <c r="I45" s="23"/>
    </row>
    <row r="46" spans="1:9" ht="12.9" customHeight="1">
      <c r="A46" s="17" t="s">
        <v>1664</v>
      </c>
      <c r="B46" s="18" t="s">
        <v>1665</v>
      </c>
      <c r="C46" s="14" t="s">
        <v>1666</v>
      </c>
      <c r="D46" s="14" t="s">
        <v>1493</v>
      </c>
      <c r="E46" s="19">
        <v>4000</v>
      </c>
      <c r="F46" s="20">
        <v>3003.8040000000001</v>
      </c>
      <c r="G46" s="21">
        <v>1.46E-2</v>
      </c>
      <c r="H46" s="22">
        <v>9.4515000000000002E-2</v>
      </c>
      <c r="I46" s="23"/>
    </row>
    <row r="47" spans="1:9" ht="12.9" customHeight="1">
      <c r="A47" s="17" t="s">
        <v>1667</v>
      </c>
      <c r="B47" s="18" t="s">
        <v>1668</v>
      </c>
      <c r="C47" s="14" t="s">
        <v>1669</v>
      </c>
      <c r="D47" s="14" t="s">
        <v>84</v>
      </c>
      <c r="E47" s="19">
        <v>3000000</v>
      </c>
      <c r="F47" s="20">
        <v>2863.2689999999998</v>
      </c>
      <c r="G47" s="21">
        <v>1.3899999999999999E-2</v>
      </c>
      <c r="H47" s="22">
        <v>7.4928999999999996E-2</v>
      </c>
      <c r="I47" s="23"/>
    </row>
    <row r="48" spans="1:9" ht="12.9" customHeight="1">
      <c r="A48" s="17" t="s">
        <v>1449</v>
      </c>
      <c r="B48" s="18" t="s">
        <v>1450</v>
      </c>
      <c r="C48" s="14" t="s">
        <v>1451</v>
      </c>
      <c r="D48" s="14" t="s">
        <v>1452</v>
      </c>
      <c r="E48" s="19">
        <v>2850</v>
      </c>
      <c r="F48" s="20">
        <v>2849.4841999999999</v>
      </c>
      <c r="G48" s="21">
        <v>1.38E-2</v>
      </c>
      <c r="H48" s="22">
        <v>7.9531000000000004E-2</v>
      </c>
      <c r="I48" s="23"/>
    </row>
    <row r="49" spans="1:9" ht="12.9" customHeight="1">
      <c r="A49" s="17" t="s">
        <v>1179</v>
      </c>
      <c r="B49" s="18" t="s">
        <v>1180</v>
      </c>
      <c r="C49" s="14" t="s">
        <v>1181</v>
      </c>
      <c r="D49" s="14" t="s">
        <v>84</v>
      </c>
      <c r="E49" s="19">
        <v>2800000</v>
      </c>
      <c r="F49" s="20">
        <v>2627.7972</v>
      </c>
      <c r="G49" s="21">
        <v>1.2800000000000001E-2</v>
      </c>
      <c r="H49" s="22">
        <v>7.5169E-2</v>
      </c>
      <c r="I49" s="23"/>
    </row>
    <row r="50" spans="1:9" ht="12.9" customHeight="1">
      <c r="A50" s="17" t="s">
        <v>1670</v>
      </c>
      <c r="B50" s="18" t="s">
        <v>1671</v>
      </c>
      <c r="C50" s="14" t="s">
        <v>1672</v>
      </c>
      <c r="D50" s="14" t="s">
        <v>895</v>
      </c>
      <c r="E50" s="19">
        <v>2500</v>
      </c>
      <c r="F50" s="20">
        <v>2532.8000000000002</v>
      </c>
      <c r="G50" s="21">
        <v>1.23E-2</v>
      </c>
      <c r="H50" s="22">
        <v>7.7449000000000004E-2</v>
      </c>
      <c r="I50" s="23"/>
    </row>
    <row r="51" spans="1:9" ht="12.9" customHeight="1">
      <c r="A51" s="17" t="s">
        <v>1673</v>
      </c>
      <c r="B51" s="18" t="s">
        <v>1674</v>
      </c>
      <c r="C51" s="14" t="s">
        <v>1675</v>
      </c>
      <c r="D51" s="14" t="s">
        <v>1545</v>
      </c>
      <c r="E51" s="19">
        <v>2500</v>
      </c>
      <c r="F51" s="20">
        <v>2532.7600000000002</v>
      </c>
      <c r="G51" s="21">
        <v>1.23E-2</v>
      </c>
      <c r="H51" s="22">
        <v>7.5800000000000006E-2</v>
      </c>
      <c r="I51" s="23"/>
    </row>
    <row r="52" spans="1:9" ht="12.9" customHeight="1">
      <c r="A52" s="17" t="s">
        <v>1676</v>
      </c>
      <c r="B52" s="18" t="s">
        <v>1677</v>
      </c>
      <c r="C52" s="14" t="s">
        <v>1678</v>
      </c>
      <c r="D52" s="14" t="s">
        <v>1437</v>
      </c>
      <c r="E52" s="19">
        <v>2500</v>
      </c>
      <c r="F52" s="20">
        <v>2525.2199999999998</v>
      </c>
      <c r="G52" s="21">
        <v>1.23E-2</v>
      </c>
      <c r="H52" s="22">
        <v>8.7653999999999996E-2</v>
      </c>
      <c r="I52" s="23"/>
    </row>
    <row r="53" spans="1:9" ht="12.9" customHeight="1">
      <c r="A53" s="17" t="s">
        <v>1065</v>
      </c>
      <c r="B53" s="18" t="s">
        <v>1066</v>
      </c>
      <c r="C53" s="14" t="s">
        <v>1067</v>
      </c>
      <c r="D53" s="14" t="s">
        <v>84</v>
      </c>
      <c r="E53" s="19">
        <v>2500000</v>
      </c>
      <c r="F53" s="20">
        <v>2502.5050000000001</v>
      </c>
      <c r="G53" s="21">
        <v>1.21E-2</v>
      </c>
      <c r="H53" s="22">
        <v>7.6146000000000005E-2</v>
      </c>
      <c r="I53" s="23"/>
    </row>
    <row r="54" spans="1:9" ht="12.9" customHeight="1">
      <c r="A54" s="17" t="s">
        <v>463</v>
      </c>
      <c r="B54" s="18" t="s">
        <v>464</v>
      </c>
      <c r="C54" s="14" t="s">
        <v>465</v>
      </c>
      <c r="D54" s="14" t="s">
        <v>109</v>
      </c>
      <c r="E54" s="19">
        <v>2500</v>
      </c>
      <c r="F54" s="20">
        <v>2476.7224999999999</v>
      </c>
      <c r="G54" s="21">
        <v>1.2E-2</v>
      </c>
      <c r="H54" s="22">
        <v>7.0749999999999993E-2</v>
      </c>
      <c r="I54" s="23"/>
    </row>
    <row r="55" spans="1:9" ht="12.9" customHeight="1">
      <c r="A55" s="17" t="s">
        <v>715</v>
      </c>
      <c r="B55" s="18" t="s">
        <v>716</v>
      </c>
      <c r="C55" s="14" t="s">
        <v>717</v>
      </c>
      <c r="D55" s="14" t="s">
        <v>84</v>
      </c>
      <c r="E55" s="19">
        <v>2500000</v>
      </c>
      <c r="F55" s="20">
        <v>2465.69</v>
      </c>
      <c r="G55" s="21">
        <v>1.2E-2</v>
      </c>
      <c r="H55" s="22">
        <v>6.6457000000000002E-2</v>
      </c>
      <c r="I55" s="23"/>
    </row>
    <row r="56" spans="1:9" ht="12.9" customHeight="1">
      <c r="A56" s="17" t="s">
        <v>406</v>
      </c>
      <c r="B56" s="18" t="s">
        <v>407</v>
      </c>
      <c r="C56" s="14" t="s">
        <v>408</v>
      </c>
      <c r="D56" s="14" t="s">
        <v>84</v>
      </c>
      <c r="E56" s="19">
        <v>2079400</v>
      </c>
      <c r="F56" s="20">
        <v>2152.0396999999998</v>
      </c>
      <c r="G56" s="21">
        <v>1.04E-2</v>
      </c>
      <c r="H56" s="22">
        <v>6.7457000000000003E-2</v>
      </c>
      <c r="I56" s="23"/>
    </row>
    <row r="57" spans="1:9" ht="12.9" customHeight="1">
      <c r="A57" s="17" t="s">
        <v>1679</v>
      </c>
      <c r="B57" s="18" t="s">
        <v>1680</v>
      </c>
      <c r="C57" s="14" t="s">
        <v>1681</v>
      </c>
      <c r="D57" s="14" t="s">
        <v>109</v>
      </c>
      <c r="E57" s="19">
        <v>2000</v>
      </c>
      <c r="F57" s="20">
        <v>2038.2539999999999</v>
      </c>
      <c r="G57" s="21">
        <v>9.9000000000000008E-3</v>
      </c>
      <c r="H57" s="22">
        <v>7.3700000000000002E-2</v>
      </c>
      <c r="I57" s="23"/>
    </row>
    <row r="58" spans="1:9" ht="12.9" customHeight="1">
      <c r="A58" s="17" t="s">
        <v>896</v>
      </c>
      <c r="B58" s="18" t="s">
        <v>897</v>
      </c>
      <c r="C58" s="14" t="s">
        <v>898</v>
      </c>
      <c r="D58" s="14" t="s">
        <v>899</v>
      </c>
      <c r="E58" s="19">
        <v>2000</v>
      </c>
      <c r="F58" s="20">
        <v>2029.5740000000001</v>
      </c>
      <c r="G58" s="21">
        <v>9.9000000000000008E-3</v>
      </c>
      <c r="H58" s="22">
        <v>0.10564999999999999</v>
      </c>
      <c r="I58" s="23"/>
    </row>
    <row r="59" spans="1:9" ht="12.9" customHeight="1">
      <c r="A59" s="17" t="s">
        <v>1682</v>
      </c>
      <c r="B59" s="18" t="s">
        <v>1683</v>
      </c>
      <c r="C59" s="14" t="s">
        <v>1684</v>
      </c>
      <c r="D59" s="14" t="s">
        <v>1657</v>
      </c>
      <c r="E59" s="19">
        <v>2000</v>
      </c>
      <c r="F59" s="20">
        <v>2011.2860000000001</v>
      </c>
      <c r="G59" s="21">
        <v>9.7999999999999997E-3</v>
      </c>
      <c r="H59" s="22">
        <v>8.6150000000000004E-2</v>
      </c>
      <c r="I59" s="23"/>
    </row>
    <row r="60" spans="1:9" ht="12.9" customHeight="1">
      <c r="A60" s="17" t="s">
        <v>1022</v>
      </c>
      <c r="B60" s="18" t="s">
        <v>1023</v>
      </c>
      <c r="C60" s="14" t="s">
        <v>1024</v>
      </c>
      <c r="D60" s="14" t="s">
        <v>1025</v>
      </c>
      <c r="E60" s="19">
        <v>2000</v>
      </c>
      <c r="F60" s="20">
        <v>1989.18</v>
      </c>
      <c r="G60" s="21">
        <v>9.7000000000000003E-3</v>
      </c>
      <c r="H60" s="22">
        <v>7.6246999999999995E-2</v>
      </c>
      <c r="I60" s="23"/>
    </row>
    <row r="61" spans="1:9" ht="12.9" customHeight="1">
      <c r="A61" s="17" t="s">
        <v>332</v>
      </c>
      <c r="B61" s="18" t="s">
        <v>333</v>
      </c>
      <c r="C61" s="14" t="s">
        <v>334</v>
      </c>
      <c r="D61" s="14" t="s">
        <v>84</v>
      </c>
      <c r="E61" s="19">
        <v>1900000</v>
      </c>
      <c r="F61" s="20">
        <v>1960.4238</v>
      </c>
      <c r="G61" s="21">
        <v>9.4999999999999998E-3</v>
      </c>
      <c r="H61" s="22">
        <v>6.7517999999999995E-2</v>
      </c>
      <c r="I61" s="23"/>
    </row>
    <row r="62" spans="1:9" ht="12.9" customHeight="1">
      <c r="A62" s="17" t="s">
        <v>1685</v>
      </c>
      <c r="B62" s="18" t="s">
        <v>1686</v>
      </c>
      <c r="C62" s="14" t="s">
        <v>1687</v>
      </c>
      <c r="D62" s="14" t="s">
        <v>109</v>
      </c>
      <c r="E62" s="19">
        <v>150</v>
      </c>
      <c r="F62" s="20">
        <v>1516.2449999999999</v>
      </c>
      <c r="G62" s="21">
        <v>7.4000000000000003E-3</v>
      </c>
      <c r="H62" s="22">
        <v>7.0882000000000001E-2</v>
      </c>
      <c r="I62" s="23"/>
    </row>
    <row r="63" spans="1:9" ht="12.9" customHeight="1">
      <c r="A63" s="17" t="s">
        <v>906</v>
      </c>
      <c r="B63" s="18" t="s">
        <v>907</v>
      </c>
      <c r="C63" s="14" t="s">
        <v>908</v>
      </c>
      <c r="D63" s="14" t="s">
        <v>895</v>
      </c>
      <c r="E63" s="19">
        <v>1500</v>
      </c>
      <c r="F63" s="20">
        <v>1512.03</v>
      </c>
      <c r="G63" s="21">
        <v>7.3000000000000001E-3</v>
      </c>
      <c r="H63" s="22">
        <v>7.9899999999999999E-2</v>
      </c>
      <c r="I63" s="23"/>
    </row>
    <row r="64" spans="1:9" ht="12.9" customHeight="1">
      <c r="A64" s="17" t="s">
        <v>1688</v>
      </c>
      <c r="B64" s="18" t="s">
        <v>1689</v>
      </c>
      <c r="C64" s="14" t="s">
        <v>1690</v>
      </c>
      <c r="D64" s="14" t="s">
        <v>1657</v>
      </c>
      <c r="E64" s="19">
        <v>1500</v>
      </c>
      <c r="F64" s="20">
        <v>1506.6089999999999</v>
      </c>
      <c r="G64" s="21">
        <v>7.3000000000000001E-3</v>
      </c>
      <c r="H64" s="22">
        <v>7.3849999999999999E-2</v>
      </c>
      <c r="I64" s="23"/>
    </row>
    <row r="65" spans="1:9" ht="12.9" customHeight="1">
      <c r="A65" s="17" t="s">
        <v>1007</v>
      </c>
      <c r="B65" s="18" t="s">
        <v>1008</v>
      </c>
      <c r="C65" s="14" t="s">
        <v>1009</v>
      </c>
      <c r="D65" s="14" t="s">
        <v>84</v>
      </c>
      <c r="E65" s="19">
        <v>1500000</v>
      </c>
      <c r="F65" s="20">
        <v>1454.097</v>
      </c>
      <c r="G65" s="21">
        <v>7.1000000000000004E-3</v>
      </c>
      <c r="H65" s="22">
        <v>7.1414000000000005E-2</v>
      </c>
      <c r="I65" s="23"/>
    </row>
    <row r="66" spans="1:9" ht="12.9" customHeight="1">
      <c r="A66" s="17" t="s">
        <v>1691</v>
      </c>
      <c r="B66" s="18" t="s">
        <v>1692</v>
      </c>
      <c r="C66" s="14" t="s">
        <v>1693</v>
      </c>
      <c r="D66" s="14" t="s">
        <v>84</v>
      </c>
      <c r="E66" s="19">
        <v>1000000</v>
      </c>
      <c r="F66" s="20">
        <v>1034.259</v>
      </c>
      <c r="G66" s="21">
        <v>5.0000000000000001E-3</v>
      </c>
      <c r="H66" s="22">
        <v>7.4616000000000002E-2</v>
      </c>
      <c r="I66" s="23"/>
    </row>
    <row r="67" spans="1:9" ht="12.9" customHeight="1">
      <c r="A67" s="17" t="s">
        <v>1694</v>
      </c>
      <c r="B67" s="18" t="s">
        <v>1695</v>
      </c>
      <c r="C67" s="14" t="s">
        <v>1696</v>
      </c>
      <c r="D67" s="14" t="s">
        <v>109</v>
      </c>
      <c r="E67" s="19">
        <v>1000</v>
      </c>
      <c r="F67" s="20">
        <v>1007.67</v>
      </c>
      <c r="G67" s="21">
        <v>4.8999999999999998E-3</v>
      </c>
      <c r="H67" s="22">
        <v>7.5399999999999995E-2</v>
      </c>
      <c r="I67" s="23"/>
    </row>
    <row r="68" spans="1:9" ht="12.9" customHeight="1">
      <c r="A68" s="17" t="s">
        <v>1697</v>
      </c>
      <c r="B68" s="18" t="s">
        <v>1698</v>
      </c>
      <c r="C68" s="14" t="s">
        <v>1699</v>
      </c>
      <c r="D68" s="14" t="s">
        <v>1545</v>
      </c>
      <c r="E68" s="19">
        <v>1000</v>
      </c>
      <c r="F68" s="20">
        <v>1002.884</v>
      </c>
      <c r="G68" s="21">
        <v>4.8999999999999998E-3</v>
      </c>
      <c r="H68" s="22">
        <v>9.1339000000000004E-2</v>
      </c>
      <c r="I68" s="23"/>
    </row>
    <row r="69" spans="1:9" ht="12.9" customHeight="1">
      <c r="A69" s="17" t="s">
        <v>1508</v>
      </c>
      <c r="B69" s="18" t="s">
        <v>1509</v>
      </c>
      <c r="C69" s="14" t="s">
        <v>1510</v>
      </c>
      <c r="D69" s="14" t="s">
        <v>1504</v>
      </c>
      <c r="E69" s="19">
        <v>800</v>
      </c>
      <c r="F69" s="20">
        <v>801.4144</v>
      </c>
      <c r="G69" s="21">
        <v>3.8999999999999998E-3</v>
      </c>
      <c r="H69" s="22">
        <v>8.9137999999999995E-2</v>
      </c>
      <c r="I69" s="23"/>
    </row>
    <row r="70" spans="1:9" ht="12.9" customHeight="1">
      <c r="A70" s="17" t="s">
        <v>1441</v>
      </c>
      <c r="B70" s="18" t="s">
        <v>1442</v>
      </c>
      <c r="C70" s="14" t="s">
        <v>1443</v>
      </c>
      <c r="D70" s="14" t="s">
        <v>1444</v>
      </c>
      <c r="E70" s="19">
        <v>500</v>
      </c>
      <c r="F70" s="20">
        <v>501.73349999999999</v>
      </c>
      <c r="G70" s="21">
        <v>2.3999999999999998E-3</v>
      </c>
      <c r="H70" s="22">
        <v>7.3349999999999999E-2</v>
      </c>
      <c r="I70" s="23"/>
    </row>
    <row r="71" spans="1:9" ht="12.9" customHeight="1">
      <c r="A71" s="17" t="s">
        <v>1700</v>
      </c>
      <c r="B71" s="18" t="s">
        <v>1701</v>
      </c>
      <c r="C71" s="14" t="s">
        <v>1702</v>
      </c>
      <c r="D71" s="14" t="s">
        <v>1657</v>
      </c>
      <c r="E71" s="19">
        <v>500</v>
      </c>
      <c r="F71" s="20">
        <v>501.64049999999997</v>
      </c>
      <c r="G71" s="21">
        <v>2.3999999999999998E-3</v>
      </c>
      <c r="H71" s="22">
        <v>9.7237000000000004E-2</v>
      </c>
      <c r="I71" s="23"/>
    </row>
    <row r="72" spans="1:9" ht="12.9" customHeight="1">
      <c r="A72" s="17" t="s">
        <v>1703</v>
      </c>
      <c r="B72" s="18" t="s">
        <v>1704</v>
      </c>
      <c r="C72" s="14" t="s">
        <v>1705</v>
      </c>
      <c r="D72" s="14" t="s">
        <v>109</v>
      </c>
      <c r="E72" s="19">
        <v>500</v>
      </c>
      <c r="F72" s="20">
        <v>500</v>
      </c>
      <c r="G72" s="21">
        <v>2.3999999999999998E-3</v>
      </c>
      <c r="H72" s="22">
        <v>5.6800000000000003E-2</v>
      </c>
      <c r="I72" s="23"/>
    </row>
    <row r="73" spans="1:9" ht="12.9" customHeight="1">
      <c r="A73" s="17" t="s">
        <v>1149</v>
      </c>
      <c r="B73" s="18" t="s">
        <v>1150</v>
      </c>
      <c r="C73" s="14" t="s">
        <v>1151</v>
      </c>
      <c r="D73" s="14" t="s">
        <v>84</v>
      </c>
      <c r="E73" s="19">
        <v>500000</v>
      </c>
      <c r="F73" s="20">
        <v>496.15550000000002</v>
      </c>
      <c r="G73" s="21">
        <v>2.3999999999999998E-3</v>
      </c>
      <c r="H73" s="22">
        <v>7.4357999999999994E-2</v>
      </c>
      <c r="I73" s="23"/>
    </row>
    <row r="74" spans="1:9" ht="12.9" customHeight="1">
      <c r="A74" s="17" t="s">
        <v>919</v>
      </c>
      <c r="B74" s="18" t="s">
        <v>920</v>
      </c>
      <c r="C74" s="14" t="s">
        <v>921</v>
      </c>
      <c r="D74" s="14" t="s">
        <v>84</v>
      </c>
      <c r="E74" s="19">
        <v>300000</v>
      </c>
      <c r="F74" s="20">
        <v>315.94260000000003</v>
      </c>
      <c r="G74" s="21">
        <v>1.5E-3</v>
      </c>
      <c r="H74" s="22">
        <v>6.7694000000000004E-2</v>
      </c>
      <c r="I74" s="23"/>
    </row>
    <row r="75" spans="1:9" ht="12.9" customHeight="1">
      <c r="A75" s="17" t="s">
        <v>1438</v>
      </c>
      <c r="B75" s="18" t="s">
        <v>1439</v>
      </c>
      <c r="C75" s="14" t="s">
        <v>1440</v>
      </c>
      <c r="D75" s="14" t="s">
        <v>84</v>
      </c>
      <c r="E75" s="19">
        <v>300000</v>
      </c>
      <c r="F75" s="20">
        <v>297.27089999999998</v>
      </c>
      <c r="G75" s="21">
        <v>1.4E-3</v>
      </c>
      <c r="H75" s="22">
        <v>7.5480000000000005E-2</v>
      </c>
      <c r="I75" s="23"/>
    </row>
    <row r="76" spans="1:9" ht="12.9" customHeight="1">
      <c r="A76" s="17" t="s">
        <v>1188</v>
      </c>
      <c r="B76" s="18" t="s">
        <v>1189</v>
      </c>
      <c r="C76" s="14" t="s">
        <v>1190</v>
      </c>
      <c r="D76" s="14" t="s">
        <v>84</v>
      </c>
      <c r="E76" s="19">
        <v>200000</v>
      </c>
      <c r="F76" s="20">
        <v>206.89760000000001</v>
      </c>
      <c r="G76" s="21">
        <v>1E-3</v>
      </c>
      <c r="H76" s="22">
        <v>6.7199999999999996E-2</v>
      </c>
      <c r="I76" s="23"/>
    </row>
    <row r="77" spans="1:9" ht="12.9" customHeight="1">
      <c r="A77" s="17" t="s">
        <v>1706</v>
      </c>
      <c r="B77" s="18" t="s">
        <v>1707</v>
      </c>
      <c r="C77" s="14" t="s">
        <v>1708</v>
      </c>
      <c r="D77" s="14" t="s">
        <v>84</v>
      </c>
      <c r="E77" s="19">
        <v>183700</v>
      </c>
      <c r="F77" s="20">
        <v>184.83840000000001</v>
      </c>
      <c r="G77" s="21">
        <v>8.9999999999999998E-4</v>
      </c>
      <c r="H77" s="22">
        <v>7.5163999999999995E-2</v>
      </c>
      <c r="I77" s="23"/>
    </row>
    <row r="78" spans="1:9" ht="12.9" customHeight="1">
      <c r="A78" s="17" t="s">
        <v>1709</v>
      </c>
      <c r="B78" s="18" t="s">
        <v>1710</v>
      </c>
      <c r="C78" s="14" t="s">
        <v>1711</v>
      </c>
      <c r="D78" s="14" t="s">
        <v>84</v>
      </c>
      <c r="E78" s="19">
        <v>150000</v>
      </c>
      <c r="F78" s="20">
        <v>159.19909999999999</v>
      </c>
      <c r="G78" s="21">
        <v>8.0000000000000004E-4</v>
      </c>
      <c r="H78" s="22">
        <v>6.3113000000000002E-2</v>
      </c>
      <c r="I78" s="23"/>
    </row>
    <row r="79" spans="1:9" ht="12.9" customHeight="1">
      <c r="A79" s="17" t="s">
        <v>1346</v>
      </c>
      <c r="B79" s="18" t="s">
        <v>1347</v>
      </c>
      <c r="C79" s="14" t="s">
        <v>1348</v>
      </c>
      <c r="D79" s="14" t="s">
        <v>109</v>
      </c>
      <c r="E79" s="19">
        <v>12</v>
      </c>
      <c r="F79" s="20">
        <v>125.46550000000001</v>
      </c>
      <c r="G79" s="21">
        <v>5.9999999999999995E-4</v>
      </c>
      <c r="H79" s="22">
        <v>6.8174999999999999E-2</v>
      </c>
      <c r="I79" s="23"/>
    </row>
    <row r="80" spans="1:9" ht="12.9" customHeight="1">
      <c r="A80" s="17" t="s">
        <v>1391</v>
      </c>
      <c r="B80" s="18" t="s">
        <v>1392</v>
      </c>
      <c r="C80" s="14" t="s">
        <v>1393</v>
      </c>
      <c r="D80" s="14" t="s">
        <v>84</v>
      </c>
      <c r="E80" s="19">
        <v>100000</v>
      </c>
      <c r="F80" s="20">
        <v>103.3899</v>
      </c>
      <c r="G80" s="21">
        <v>5.0000000000000001E-4</v>
      </c>
      <c r="H80" s="22">
        <v>6.0503000000000001E-2</v>
      </c>
      <c r="I80" s="23"/>
    </row>
    <row r="81" spans="1:9" ht="12.9" customHeight="1">
      <c r="A81" s="17" t="s">
        <v>1712</v>
      </c>
      <c r="B81" s="18" t="s">
        <v>1713</v>
      </c>
      <c r="C81" s="14" t="s">
        <v>1714</v>
      </c>
      <c r="D81" s="14" t="s">
        <v>84</v>
      </c>
      <c r="E81" s="19">
        <v>98700</v>
      </c>
      <c r="F81" s="20">
        <v>100.7713</v>
      </c>
      <c r="G81" s="21">
        <v>5.0000000000000001E-4</v>
      </c>
      <c r="H81" s="22">
        <v>7.1057999999999996E-2</v>
      </c>
      <c r="I81" s="23"/>
    </row>
    <row r="82" spans="1:9" ht="12.9" customHeight="1">
      <c r="A82" s="17" t="s">
        <v>1715</v>
      </c>
      <c r="B82" s="18" t="s">
        <v>1716</v>
      </c>
      <c r="C82" s="14" t="s">
        <v>1717</v>
      </c>
      <c r="D82" s="14" t="s">
        <v>109</v>
      </c>
      <c r="E82" s="19">
        <v>6</v>
      </c>
      <c r="F82" s="20">
        <v>59.998399999999997</v>
      </c>
      <c r="G82" s="21">
        <v>2.9999999999999997E-4</v>
      </c>
      <c r="H82" s="22">
        <v>5.7544999999999999E-2</v>
      </c>
      <c r="I82" s="23"/>
    </row>
    <row r="83" spans="1:9" ht="12.9" customHeight="1">
      <c r="A83" s="17" t="s">
        <v>1718</v>
      </c>
      <c r="B83" s="18" t="s">
        <v>1719</v>
      </c>
      <c r="C83" s="14" t="s">
        <v>1720</v>
      </c>
      <c r="D83" s="14" t="s">
        <v>84</v>
      </c>
      <c r="E83" s="19">
        <v>48900</v>
      </c>
      <c r="F83" s="20">
        <v>50.784500000000001</v>
      </c>
      <c r="G83" s="21">
        <v>2.0000000000000001E-4</v>
      </c>
      <c r="H83" s="22">
        <v>5.9568000000000003E-2</v>
      </c>
      <c r="I83" s="23"/>
    </row>
    <row r="84" spans="1:9" ht="12.9" customHeight="1">
      <c r="A84" s="17" t="s">
        <v>718</v>
      </c>
      <c r="B84" s="18" t="s">
        <v>719</v>
      </c>
      <c r="C84" s="14" t="s">
        <v>720</v>
      </c>
      <c r="D84" s="14" t="s">
        <v>84</v>
      </c>
      <c r="E84" s="19">
        <v>49400</v>
      </c>
      <c r="F84" s="20">
        <v>48.430300000000003</v>
      </c>
      <c r="G84" s="21">
        <v>2.0000000000000001E-4</v>
      </c>
      <c r="H84" s="22">
        <v>6.4051999999999998E-2</v>
      </c>
      <c r="I84" s="23"/>
    </row>
    <row r="85" spans="1:9" ht="12.9" customHeight="1">
      <c r="A85" s="17" t="s">
        <v>1406</v>
      </c>
      <c r="B85" s="18" t="s">
        <v>1407</v>
      </c>
      <c r="C85" s="14" t="s">
        <v>1408</v>
      </c>
      <c r="D85" s="14" t="s">
        <v>84</v>
      </c>
      <c r="E85" s="19">
        <v>42000</v>
      </c>
      <c r="F85" s="20">
        <v>44.653599999999997</v>
      </c>
      <c r="G85" s="21">
        <v>2.0000000000000001E-4</v>
      </c>
      <c r="H85" s="22">
        <v>5.8902999999999997E-2</v>
      </c>
      <c r="I85" s="23"/>
    </row>
    <row r="86" spans="1:9" ht="12.9" customHeight="1">
      <c r="A86" s="17" t="s">
        <v>1721</v>
      </c>
      <c r="B86" s="18" t="s">
        <v>1722</v>
      </c>
      <c r="C86" s="14" t="s">
        <v>1723</v>
      </c>
      <c r="D86" s="14" t="s">
        <v>109</v>
      </c>
      <c r="E86" s="19">
        <v>1</v>
      </c>
      <c r="F86" s="20">
        <v>10.0273</v>
      </c>
      <c r="G86" s="30" t="s">
        <v>95</v>
      </c>
      <c r="H86" s="22">
        <v>7.3202000000000003E-2</v>
      </c>
      <c r="I86" s="23"/>
    </row>
    <row r="87" spans="1:9" ht="12.9" customHeight="1">
      <c r="A87" s="17" t="s">
        <v>1724</v>
      </c>
      <c r="B87" s="18" t="s">
        <v>1725</v>
      </c>
      <c r="C87" s="14" t="s">
        <v>1726</v>
      </c>
      <c r="D87" s="14" t="s">
        <v>84</v>
      </c>
      <c r="E87" s="19">
        <v>9400</v>
      </c>
      <c r="F87" s="20">
        <v>9.6170000000000009</v>
      </c>
      <c r="G87" s="30" t="s">
        <v>95</v>
      </c>
      <c r="H87" s="22">
        <v>5.663E-2</v>
      </c>
      <c r="I87" s="23"/>
    </row>
    <row r="88" spans="1:9" ht="12.9" customHeight="1">
      <c r="A88" s="17" t="s">
        <v>1727</v>
      </c>
      <c r="B88" s="18" t="s">
        <v>1728</v>
      </c>
      <c r="C88" s="14" t="s">
        <v>1729</v>
      </c>
      <c r="D88" s="14" t="s">
        <v>84</v>
      </c>
      <c r="E88" s="19">
        <v>4000</v>
      </c>
      <c r="F88" s="20">
        <v>4.2000999999999999</v>
      </c>
      <c r="G88" s="30" t="s">
        <v>95</v>
      </c>
      <c r="H88" s="22">
        <v>5.9638999999999998E-2</v>
      </c>
      <c r="I88" s="23"/>
    </row>
    <row r="89" spans="1:9" ht="12.9" customHeight="1">
      <c r="A89" s="5"/>
      <c r="B89" s="13" t="s">
        <v>88</v>
      </c>
      <c r="C89" s="14"/>
      <c r="D89" s="14"/>
      <c r="E89" s="14"/>
      <c r="F89" s="24">
        <v>187689.9399</v>
      </c>
      <c r="G89" s="25">
        <v>0.91120000000000001</v>
      </c>
      <c r="H89" s="26"/>
      <c r="I89" s="27"/>
    </row>
    <row r="90" spans="1:9" ht="12.9" customHeight="1">
      <c r="A90" s="5"/>
      <c r="B90" s="28" t="s">
        <v>89</v>
      </c>
      <c r="C90" s="2"/>
      <c r="D90" s="2"/>
      <c r="E90" s="2"/>
      <c r="F90" s="26" t="s">
        <v>90</v>
      </c>
      <c r="G90" s="26" t="s">
        <v>90</v>
      </c>
      <c r="H90" s="26"/>
      <c r="I90" s="27"/>
    </row>
    <row r="91" spans="1:9" ht="12.9" customHeight="1">
      <c r="A91" s="5"/>
      <c r="B91" s="28" t="s">
        <v>88</v>
      </c>
      <c r="C91" s="2"/>
      <c r="D91" s="2"/>
      <c r="E91" s="2"/>
      <c r="F91" s="26" t="s">
        <v>90</v>
      </c>
      <c r="G91" s="26" t="s">
        <v>90</v>
      </c>
      <c r="H91" s="26"/>
      <c r="I91" s="27"/>
    </row>
    <row r="92" spans="1:9" ht="12.9" customHeight="1">
      <c r="A92" s="5"/>
      <c r="B92" s="13" t="s">
        <v>751</v>
      </c>
      <c r="C92" s="14"/>
      <c r="D92" s="14"/>
      <c r="E92" s="14"/>
      <c r="F92" s="5"/>
      <c r="G92" s="15"/>
      <c r="H92" s="15"/>
      <c r="I92" s="16"/>
    </row>
    <row r="93" spans="1:9" ht="12.9" customHeight="1">
      <c r="A93" s="17" t="s">
        <v>752</v>
      </c>
      <c r="B93" s="18" t="s">
        <v>753</v>
      </c>
      <c r="C93" s="14" t="s">
        <v>754</v>
      </c>
      <c r="D93" s="14" t="s">
        <v>755</v>
      </c>
      <c r="E93" s="19">
        <v>19</v>
      </c>
      <c r="F93" s="20">
        <v>1920.6294</v>
      </c>
      <c r="G93" s="21">
        <v>9.2999999999999992E-3</v>
      </c>
      <c r="H93" s="22">
        <v>7.3596999999999996E-2</v>
      </c>
      <c r="I93" s="23"/>
    </row>
    <row r="94" spans="1:9" ht="12.9" customHeight="1">
      <c r="A94" s="17" t="s">
        <v>756</v>
      </c>
      <c r="B94" s="18" t="s">
        <v>757</v>
      </c>
      <c r="C94" s="14" t="s">
        <v>758</v>
      </c>
      <c r="D94" s="14" t="s">
        <v>755</v>
      </c>
      <c r="E94" s="19">
        <v>19</v>
      </c>
      <c r="F94" s="20">
        <v>1920.1405999999999</v>
      </c>
      <c r="G94" s="21">
        <v>9.2999999999999992E-3</v>
      </c>
      <c r="H94" s="22">
        <v>7.4996999999999994E-2</v>
      </c>
      <c r="I94" s="23"/>
    </row>
    <row r="95" spans="1:9" ht="12.9" customHeight="1">
      <c r="A95" s="17" t="s">
        <v>759</v>
      </c>
      <c r="B95" s="18" t="s">
        <v>760</v>
      </c>
      <c r="C95" s="14" t="s">
        <v>761</v>
      </c>
      <c r="D95" s="14" t="s">
        <v>755</v>
      </c>
      <c r="E95" s="19">
        <v>12</v>
      </c>
      <c r="F95" s="20">
        <v>1209.1238000000001</v>
      </c>
      <c r="G95" s="21">
        <v>5.8999999999999999E-3</v>
      </c>
      <c r="H95" s="22">
        <v>7.3246000000000006E-2</v>
      </c>
      <c r="I95" s="23"/>
    </row>
    <row r="96" spans="1:9" ht="12.9" customHeight="1">
      <c r="A96" s="17" t="s">
        <v>1459</v>
      </c>
      <c r="B96" s="18" t="s">
        <v>1460</v>
      </c>
      <c r="C96" s="14" t="s">
        <v>1461</v>
      </c>
      <c r="D96" s="14" t="s">
        <v>1462</v>
      </c>
      <c r="E96" s="19">
        <v>30</v>
      </c>
      <c r="F96" s="20">
        <v>64.406400000000005</v>
      </c>
      <c r="G96" s="21">
        <v>2.9999999999999997E-4</v>
      </c>
      <c r="H96" s="22">
        <v>8.6749999999999994E-2</v>
      </c>
      <c r="I96" s="23"/>
    </row>
    <row r="97" spans="1:9" ht="12.9" customHeight="1">
      <c r="A97" s="5"/>
      <c r="B97" s="13" t="s">
        <v>88</v>
      </c>
      <c r="C97" s="14"/>
      <c r="D97" s="14"/>
      <c r="E97" s="14"/>
      <c r="F97" s="24">
        <v>5114.3002999999999</v>
      </c>
      <c r="G97" s="25">
        <v>2.4799999999999999E-2</v>
      </c>
      <c r="H97" s="26"/>
      <c r="I97" s="27"/>
    </row>
    <row r="98" spans="1:9" ht="12.9" customHeight="1">
      <c r="A98" s="5"/>
      <c r="B98" s="28" t="s">
        <v>91</v>
      </c>
      <c r="C98" s="29"/>
      <c r="D98" s="2"/>
      <c r="E98" s="29"/>
      <c r="F98" s="24">
        <v>192804.2402</v>
      </c>
      <c r="G98" s="25">
        <v>0.93600000000000005</v>
      </c>
      <c r="H98" s="26"/>
      <c r="I98" s="27"/>
    </row>
    <row r="99" spans="1:9" ht="12.9" customHeight="1">
      <c r="A99" s="5"/>
      <c r="B99" s="13" t="s">
        <v>285</v>
      </c>
      <c r="C99" s="14"/>
      <c r="D99" s="14"/>
      <c r="E99" s="14"/>
      <c r="F99" s="14"/>
      <c r="G99" s="14"/>
      <c r="H99" s="15"/>
      <c r="I99" s="16"/>
    </row>
    <row r="100" spans="1:9" ht="12.9" customHeight="1">
      <c r="A100" s="5"/>
      <c r="B100" s="13" t="s">
        <v>789</v>
      </c>
      <c r="C100" s="14"/>
      <c r="D100" s="14"/>
      <c r="E100" s="14"/>
      <c r="F100" s="5"/>
      <c r="G100" s="15"/>
      <c r="H100" s="15"/>
      <c r="I100" s="16"/>
    </row>
    <row r="101" spans="1:9" ht="12.9" customHeight="1">
      <c r="A101" s="17" t="s">
        <v>790</v>
      </c>
      <c r="B101" s="18" t="s">
        <v>791</v>
      </c>
      <c r="C101" s="14" t="s">
        <v>792</v>
      </c>
      <c r="D101" s="14"/>
      <c r="E101" s="19">
        <v>4918.5829999999996</v>
      </c>
      <c r="F101" s="20">
        <v>566.57190000000003</v>
      </c>
      <c r="G101" s="21">
        <v>2.8E-3</v>
      </c>
      <c r="H101" s="22"/>
      <c r="I101" s="23"/>
    </row>
    <row r="102" spans="1:9" ht="12.9" customHeight="1">
      <c r="A102" s="5"/>
      <c r="B102" s="13" t="s">
        <v>88</v>
      </c>
      <c r="C102" s="14"/>
      <c r="D102" s="14"/>
      <c r="E102" s="14"/>
      <c r="F102" s="24">
        <v>566.57190000000003</v>
      </c>
      <c r="G102" s="25">
        <v>2.8E-3</v>
      </c>
      <c r="H102" s="26"/>
      <c r="I102" s="27"/>
    </row>
    <row r="103" spans="1:9" ht="12.9" customHeight="1">
      <c r="A103" s="5"/>
      <c r="B103" s="28" t="s">
        <v>91</v>
      </c>
      <c r="C103" s="29"/>
      <c r="D103" s="2"/>
      <c r="E103" s="29"/>
      <c r="F103" s="24">
        <v>566.57190000000003</v>
      </c>
      <c r="G103" s="25">
        <v>2.8E-3</v>
      </c>
      <c r="H103" s="26"/>
      <c r="I103" s="27"/>
    </row>
    <row r="104" spans="1:9" ht="12.9" customHeight="1">
      <c r="A104" s="5"/>
      <c r="B104" s="13" t="s">
        <v>92</v>
      </c>
      <c r="C104" s="14"/>
      <c r="D104" s="14"/>
      <c r="E104" s="14"/>
      <c r="F104" s="14"/>
      <c r="G104" s="14"/>
      <c r="H104" s="15"/>
      <c r="I104" s="16"/>
    </row>
    <row r="105" spans="1:9" ht="12.9" customHeight="1">
      <c r="A105" s="17" t="s">
        <v>93</v>
      </c>
      <c r="B105" s="18" t="s">
        <v>94</v>
      </c>
      <c r="C105" s="14"/>
      <c r="D105" s="14"/>
      <c r="E105" s="19"/>
      <c r="F105" s="20">
        <v>6686.63</v>
      </c>
      <c r="G105" s="21">
        <v>3.2500000000000001E-2</v>
      </c>
      <c r="H105" s="22">
        <v>5.0765162232309265E-2</v>
      </c>
      <c r="I105" s="23"/>
    </row>
    <row r="106" spans="1:9" ht="12.9" customHeight="1">
      <c r="A106" s="5"/>
      <c r="B106" s="13" t="s">
        <v>88</v>
      </c>
      <c r="C106" s="14"/>
      <c r="D106" s="14"/>
      <c r="E106" s="14"/>
      <c r="F106" s="24">
        <v>6686.63</v>
      </c>
      <c r="G106" s="25">
        <v>3.2500000000000001E-2</v>
      </c>
      <c r="H106" s="26"/>
      <c r="I106" s="27"/>
    </row>
    <row r="107" spans="1:9" ht="12.9" customHeight="1">
      <c r="A107" s="5"/>
      <c r="B107" s="28" t="s">
        <v>91</v>
      </c>
      <c r="C107" s="29"/>
      <c r="D107" s="2"/>
      <c r="E107" s="29"/>
      <c r="F107" s="24">
        <v>6686.63</v>
      </c>
      <c r="G107" s="25">
        <v>3.2500000000000001E-2</v>
      </c>
      <c r="H107" s="26"/>
      <c r="I107" s="27"/>
    </row>
    <row r="108" spans="1:9" ht="12.9" customHeight="1">
      <c r="A108" s="5"/>
      <c r="B108" s="28" t="s">
        <v>96</v>
      </c>
      <c r="C108" s="14"/>
      <c r="D108" s="2"/>
      <c r="E108" s="14"/>
      <c r="F108" s="31">
        <v>4905.1297999999997</v>
      </c>
      <c r="G108" s="25">
        <v>2.3699999999999999E-2</v>
      </c>
      <c r="H108" s="26"/>
      <c r="I108" s="27"/>
    </row>
    <row r="109" spans="1:9" ht="12.9" customHeight="1">
      <c r="A109" s="5"/>
      <c r="B109" s="32" t="s">
        <v>97</v>
      </c>
      <c r="C109" s="33"/>
      <c r="D109" s="33"/>
      <c r="E109" s="33"/>
      <c r="F109" s="34">
        <v>205982.65</v>
      </c>
      <c r="G109" s="35">
        <v>1</v>
      </c>
      <c r="H109" s="36"/>
      <c r="I109" s="37"/>
    </row>
    <row r="110" spans="1:9" ht="12.9" customHeight="1">
      <c r="A110" s="5"/>
      <c r="B110" s="7"/>
      <c r="C110" s="5"/>
      <c r="D110" s="5"/>
      <c r="E110" s="5"/>
      <c r="F110" s="5"/>
      <c r="G110" s="5"/>
      <c r="H110" s="5"/>
      <c r="I110" s="5"/>
    </row>
    <row r="111" spans="1:9" ht="12.9" customHeight="1">
      <c r="A111" s="5"/>
      <c r="B111" s="4" t="s">
        <v>793</v>
      </c>
      <c r="C111" s="5"/>
      <c r="D111" s="5"/>
      <c r="E111" s="5"/>
      <c r="F111" s="5"/>
      <c r="G111" s="5"/>
      <c r="H111" s="5"/>
      <c r="I111" s="5"/>
    </row>
    <row r="112" spans="1:9" ht="12.9" customHeight="1">
      <c r="A112" s="5"/>
      <c r="B112" s="4" t="s">
        <v>146</v>
      </c>
      <c r="C112" s="5"/>
      <c r="D112" s="5"/>
      <c r="E112" s="5"/>
      <c r="F112" s="5"/>
      <c r="G112" s="5"/>
      <c r="H112" s="5"/>
      <c r="I112" s="5"/>
    </row>
    <row r="113" spans="1:9" ht="12.9" customHeight="1">
      <c r="A113" s="5"/>
      <c r="B113" s="4" t="s">
        <v>98</v>
      </c>
      <c r="C113" s="5"/>
      <c r="D113" s="5"/>
      <c r="E113" s="5"/>
      <c r="F113" s="5"/>
      <c r="G113" s="5"/>
      <c r="H113" s="5"/>
      <c r="I113" s="5"/>
    </row>
    <row r="114" spans="1:9" ht="12.9" customHeight="1">
      <c r="A114" s="5"/>
      <c r="B114" s="4" t="s">
        <v>99</v>
      </c>
      <c r="C114" s="5"/>
      <c r="D114" s="5"/>
      <c r="E114" s="5"/>
      <c r="F114" s="5"/>
      <c r="G114" s="5"/>
      <c r="H114" s="5"/>
      <c r="I114" s="5"/>
    </row>
    <row r="115" spans="1:9" ht="26.1" customHeight="1">
      <c r="A115" s="5"/>
      <c r="B115" s="50" t="s">
        <v>100</v>
      </c>
      <c r="C115" s="50"/>
      <c r="D115" s="50"/>
      <c r="E115" s="50"/>
      <c r="F115" s="50"/>
      <c r="G115" s="50"/>
      <c r="H115" s="50"/>
      <c r="I115" s="50"/>
    </row>
    <row r="116" spans="1:9" ht="12.9" customHeight="1">
      <c r="A116" s="5"/>
      <c r="B116" s="50" t="s">
        <v>101</v>
      </c>
      <c r="C116" s="50"/>
      <c r="D116" s="50"/>
      <c r="E116" s="50"/>
      <c r="F116" s="50"/>
      <c r="G116" s="50"/>
      <c r="H116" s="50"/>
      <c r="I116" s="50"/>
    </row>
    <row r="117" spans="1:9" ht="12.9" customHeight="1">
      <c r="A117" s="5"/>
      <c r="B117" s="50"/>
      <c r="C117" s="50"/>
      <c r="D117" s="50"/>
      <c r="E117" s="50"/>
      <c r="F117" s="50"/>
      <c r="G117" s="50"/>
      <c r="H117" s="50"/>
      <c r="I117" s="50"/>
    </row>
    <row r="118" spans="1:9" ht="12.9" customHeight="1">
      <c r="A118" s="5"/>
      <c r="B118" s="53" t="s">
        <v>1730</v>
      </c>
      <c r="C118" s="53"/>
      <c r="D118" s="53"/>
      <c r="E118" s="53"/>
      <c r="F118" s="5"/>
      <c r="G118" s="5"/>
      <c r="H118" s="5"/>
      <c r="I118" s="5"/>
    </row>
    <row r="119" spans="1:9" ht="12.9" customHeight="1">
      <c r="A119" s="5"/>
      <c r="B119" s="50"/>
      <c r="C119" s="50"/>
      <c r="D119" s="50"/>
      <c r="E119" s="50"/>
      <c r="F119" s="50"/>
      <c r="G119" s="50"/>
      <c r="H119" s="50"/>
      <c r="I119" s="50"/>
    </row>
    <row r="120" spans="1:9" ht="12.9" customHeight="1">
      <c r="A120" s="5"/>
      <c r="B120" s="5"/>
      <c r="C120" s="51" t="s">
        <v>1731</v>
      </c>
      <c r="D120" s="51"/>
      <c r="E120" s="51"/>
      <c r="F120" s="51"/>
      <c r="G120" s="5"/>
      <c r="H120" s="5"/>
      <c r="I120" s="5"/>
    </row>
    <row r="121" spans="1:9" ht="12.9" customHeight="1">
      <c r="A121" s="5"/>
      <c r="B121" s="38" t="s">
        <v>103</v>
      </c>
      <c r="C121" s="51" t="s">
        <v>104</v>
      </c>
      <c r="D121" s="51"/>
      <c r="E121" s="51"/>
      <c r="F121" s="51"/>
      <c r="G121" s="5"/>
      <c r="H121" s="5"/>
      <c r="I121" s="5"/>
    </row>
    <row r="122" spans="1:9" ht="135" customHeight="1">
      <c r="A122" s="5"/>
      <c r="B122" s="39"/>
      <c r="C122" s="52"/>
      <c r="D122" s="52"/>
      <c r="E122" s="5"/>
      <c r="F122" s="5"/>
      <c r="G122" s="5"/>
      <c r="H122" s="5"/>
      <c r="I122" s="5"/>
    </row>
  </sheetData>
  <mergeCells count="8">
    <mergeCell ref="C120:F120"/>
    <mergeCell ref="C121:F121"/>
    <mergeCell ref="C122:D122"/>
    <mergeCell ref="B115:I115"/>
    <mergeCell ref="B116:I116"/>
    <mergeCell ref="B117:I117"/>
    <mergeCell ref="B118:E118"/>
    <mergeCell ref="B119:I119"/>
  </mergeCells>
  <hyperlinks>
    <hyperlink ref="A1" location="AxisStrategicBondFund" display="AXISIFD" xr:uid="{00000000-0004-0000-2700-000000000000}"/>
    <hyperlink ref="B1" location="AxisStrategicBondFund" display="Axis Strategic Bond Fund" xr:uid="{00000000-0004-0000-2700-000001000000}"/>
  </hyperlinks>
  <pageMargins left="0" right="0" top="0" bottom="0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/>
  </sheetPr>
  <dimension ref="A1:I82"/>
  <sheetViews>
    <sheetView topLeftCell="A49" workbookViewId="0">
      <selection activeCell="C32" sqref="C32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37</v>
      </c>
      <c r="B1" s="4" t="s">
        <v>38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148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149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1410</v>
      </c>
      <c r="B7" s="18" t="s">
        <v>1411</v>
      </c>
      <c r="C7" s="14" t="s">
        <v>1412</v>
      </c>
      <c r="D7" s="14" t="s">
        <v>259</v>
      </c>
      <c r="E7" s="19">
        <v>558738</v>
      </c>
      <c r="F7" s="20">
        <v>703.8981</v>
      </c>
      <c r="G7" s="21">
        <v>1.9199999999999998E-2</v>
      </c>
      <c r="H7" s="30"/>
      <c r="I7" s="23"/>
    </row>
    <row r="8" spans="1:9" ht="12.9" customHeight="1">
      <c r="A8" s="17" t="s">
        <v>883</v>
      </c>
      <c r="B8" s="18" t="s">
        <v>884</v>
      </c>
      <c r="C8" s="14" t="s">
        <v>885</v>
      </c>
      <c r="D8" s="14" t="s">
        <v>212</v>
      </c>
      <c r="E8" s="19">
        <v>231237</v>
      </c>
      <c r="F8" s="20">
        <v>272.9984</v>
      </c>
      <c r="G8" s="21">
        <v>7.4999999999999997E-3</v>
      </c>
      <c r="H8" s="30"/>
      <c r="I8" s="23"/>
    </row>
    <row r="9" spans="1:9" ht="12.9" customHeight="1">
      <c r="A9" s="17" t="s">
        <v>1732</v>
      </c>
      <c r="B9" s="18" t="s">
        <v>1733</v>
      </c>
      <c r="C9" s="14" t="s">
        <v>1734</v>
      </c>
      <c r="D9" s="14" t="s">
        <v>211</v>
      </c>
      <c r="E9" s="19">
        <v>50000</v>
      </c>
      <c r="F9" s="20">
        <v>84.06</v>
      </c>
      <c r="G9" s="21">
        <v>2.3E-3</v>
      </c>
      <c r="H9" s="30"/>
      <c r="I9" s="23"/>
    </row>
    <row r="10" spans="1:9" ht="12.9" customHeight="1">
      <c r="A10" s="17" t="s">
        <v>1487</v>
      </c>
      <c r="B10" s="18" t="s">
        <v>1488</v>
      </c>
      <c r="C10" s="14" t="s">
        <v>1489</v>
      </c>
      <c r="D10" s="14" t="s">
        <v>259</v>
      </c>
      <c r="E10" s="19">
        <v>15328</v>
      </c>
      <c r="F10" s="20">
        <v>67.460099999999997</v>
      </c>
      <c r="G10" s="21">
        <v>1.8E-3</v>
      </c>
      <c r="H10" s="30"/>
      <c r="I10" s="23"/>
    </row>
    <row r="11" spans="1:9" ht="12.9" customHeight="1">
      <c r="A11" s="5"/>
      <c r="B11" s="13" t="s">
        <v>88</v>
      </c>
      <c r="C11" s="14"/>
      <c r="D11" s="14"/>
      <c r="E11" s="14"/>
      <c r="F11" s="24">
        <v>1128.4166</v>
      </c>
      <c r="G11" s="25">
        <v>3.09E-2</v>
      </c>
      <c r="H11" s="26"/>
      <c r="I11" s="27"/>
    </row>
    <row r="12" spans="1:9" ht="12.9" customHeight="1">
      <c r="A12" s="5"/>
      <c r="B12" s="28" t="s">
        <v>284</v>
      </c>
      <c r="C12" s="2"/>
      <c r="D12" s="2"/>
      <c r="E12" s="2"/>
      <c r="F12" s="26" t="s">
        <v>90</v>
      </c>
      <c r="G12" s="26" t="s">
        <v>90</v>
      </c>
      <c r="H12" s="26"/>
      <c r="I12" s="27"/>
    </row>
    <row r="13" spans="1:9" ht="12.9" customHeight="1">
      <c r="A13" s="5"/>
      <c r="B13" s="28" t="s">
        <v>88</v>
      </c>
      <c r="C13" s="2"/>
      <c r="D13" s="2"/>
      <c r="E13" s="2"/>
      <c r="F13" s="26" t="s">
        <v>90</v>
      </c>
      <c r="G13" s="26" t="s">
        <v>90</v>
      </c>
      <c r="H13" s="26"/>
      <c r="I13" s="27"/>
    </row>
    <row r="14" spans="1:9" ht="12.9" customHeight="1">
      <c r="A14" s="5"/>
      <c r="B14" s="28" t="s">
        <v>91</v>
      </c>
      <c r="C14" s="29"/>
      <c r="D14" s="2"/>
      <c r="E14" s="29"/>
      <c r="F14" s="24">
        <v>1128.4166</v>
      </c>
      <c r="G14" s="25">
        <v>3.09E-2</v>
      </c>
      <c r="H14" s="26"/>
      <c r="I14" s="27"/>
    </row>
    <row r="15" spans="1:9" ht="12.9" customHeight="1">
      <c r="A15" s="5"/>
      <c r="B15" s="13" t="s">
        <v>79</v>
      </c>
      <c r="C15" s="14"/>
      <c r="D15" s="14"/>
      <c r="E15" s="14"/>
      <c r="F15" s="14"/>
      <c r="G15" s="14"/>
      <c r="H15" s="15"/>
      <c r="I15" s="16"/>
    </row>
    <row r="16" spans="1:9" ht="12.9" customHeight="1">
      <c r="A16" s="5"/>
      <c r="B16" s="13" t="s">
        <v>80</v>
      </c>
      <c r="C16" s="14"/>
      <c r="D16" s="14"/>
      <c r="E16" s="14"/>
      <c r="F16" s="5"/>
      <c r="G16" s="15"/>
      <c r="H16" s="15"/>
      <c r="I16" s="16"/>
    </row>
    <row r="17" spans="1:9" ht="12.9" customHeight="1">
      <c r="A17" s="17" t="s">
        <v>1542</v>
      </c>
      <c r="B17" s="18" t="s">
        <v>1543</v>
      </c>
      <c r="C17" s="14" t="s">
        <v>1544</v>
      </c>
      <c r="D17" s="14" t="s">
        <v>1545</v>
      </c>
      <c r="E17" s="19">
        <v>1500</v>
      </c>
      <c r="F17" s="20">
        <v>1599.4694999999999</v>
      </c>
      <c r="G17" s="21">
        <v>4.3700000000000003E-2</v>
      </c>
      <c r="H17" s="22">
        <v>8.3776000000000003E-2</v>
      </c>
      <c r="I17" s="23"/>
    </row>
    <row r="18" spans="1:9" ht="12.9" customHeight="1">
      <c r="A18" s="17" t="s">
        <v>1648</v>
      </c>
      <c r="B18" s="18" t="s">
        <v>1649</v>
      </c>
      <c r="C18" s="14" t="s">
        <v>1650</v>
      </c>
      <c r="D18" s="14" t="s">
        <v>1545</v>
      </c>
      <c r="E18" s="19">
        <v>1500</v>
      </c>
      <c r="F18" s="20">
        <v>1541.9355</v>
      </c>
      <c r="G18" s="21">
        <v>4.2200000000000001E-2</v>
      </c>
      <c r="H18" s="22">
        <v>8.1049999999999997E-2</v>
      </c>
      <c r="I18" s="23"/>
    </row>
    <row r="19" spans="1:9" ht="12.9" customHeight="1">
      <c r="A19" s="17" t="s">
        <v>1434</v>
      </c>
      <c r="B19" s="18" t="s">
        <v>1435</v>
      </c>
      <c r="C19" s="14" t="s">
        <v>1436</v>
      </c>
      <c r="D19" s="14" t="s">
        <v>1437</v>
      </c>
      <c r="E19" s="19">
        <v>1500</v>
      </c>
      <c r="F19" s="20">
        <v>1518.963</v>
      </c>
      <c r="G19" s="21">
        <v>4.1500000000000002E-2</v>
      </c>
      <c r="H19" s="22">
        <v>7.8648999999999997E-2</v>
      </c>
      <c r="I19" s="23"/>
    </row>
    <row r="20" spans="1:9" ht="12.9" customHeight="1">
      <c r="A20" s="17" t="s">
        <v>1651</v>
      </c>
      <c r="B20" s="18" t="s">
        <v>1652</v>
      </c>
      <c r="C20" s="14" t="s">
        <v>1653</v>
      </c>
      <c r="D20" s="14" t="s">
        <v>1545</v>
      </c>
      <c r="E20" s="19">
        <v>1500</v>
      </c>
      <c r="F20" s="20">
        <v>1516.875</v>
      </c>
      <c r="G20" s="21">
        <v>4.1500000000000002E-2</v>
      </c>
      <c r="H20" s="22">
        <v>7.8600000000000003E-2</v>
      </c>
      <c r="I20" s="23"/>
    </row>
    <row r="21" spans="1:9" ht="12.9" customHeight="1">
      <c r="A21" s="17" t="s">
        <v>1694</v>
      </c>
      <c r="B21" s="18" t="s">
        <v>1695</v>
      </c>
      <c r="C21" s="14" t="s">
        <v>1696</v>
      </c>
      <c r="D21" s="14" t="s">
        <v>109</v>
      </c>
      <c r="E21" s="19">
        <v>1500</v>
      </c>
      <c r="F21" s="20">
        <v>1511.5050000000001</v>
      </c>
      <c r="G21" s="21">
        <v>4.1300000000000003E-2</v>
      </c>
      <c r="H21" s="22">
        <v>7.5399999999999995E-2</v>
      </c>
      <c r="I21" s="23"/>
    </row>
    <row r="22" spans="1:9" ht="12.9" customHeight="1">
      <c r="A22" s="17" t="s">
        <v>1688</v>
      </c>
      <c r="B22" s="18" t="s">
        <v>1689</v>
      </c>
      <c r="C22" s="14" t="s">
        <v>1690</v>
      </c>
      <c r="D22" s="14" t="s">
        <v>1657</v>
      </c>
      <c r="E22" s="19">
        <v>1500</v>
      </c>
      <c r="F22" s="20">
        <v>1506.6089999999999</v>
      </c>
      <c r="G22" s="21">
        <v>4.1200000000000001E-2</v>
      </c>
      <c r="H22" s="22">
        <v>7.3849999999999999E-2</v>
      </c>
      <c r="I22" s="23"/>
    </row>
    <row r="23" spans="1:9" ht="12.9" customHeight="1">
      <c r="A23" s="17" t="s">
        <v>909</v>
      </c>
      <c r="B23" s="18" t="s">
        <v>910</v>
      </c>
      <c r="C23" s="14" t="s">
        <v>911</v>
      </c>
      <c r="D23" s="14" t="s">
        <v>912</v>
      </c>
      <c r="E23" s="19">
        <v>1500</v>
      </c>
      <c r="F23" s="20">
        <v>1503.8805</v>
      </c>
      <c r="G23" s="21">
        <v>4.1099999999999998E-2</v>
      </c>
      <c r="H23" s="22">
        <v>8.5789000000000004E-2</v>
      </c>
      <c r="I23" s="23"/>
    </row>
    <row r="24" spans="1:9" ht="12.9" customHeight="1">
      <c r="A24" s="17" t="s">
        <v>973</v>
      </c>
      <c r="B24" s="18" t="s">
        <v>974</v>
      </c>
      <c r="C24" s="14" t="s">
        <v>975</v>
      </c>
      <c r="D24" s="14" t="s">
        <v>84</v>
      </c>
      <c r="E24" s="19">
        <v>1500000</v>
      </c>
      <c r="F24" s="20">
        <v>1487.8844999999999</v>
      </c>
      <c r="G24" s="21">
        <v>4.07E-2</v>
      </c>
      <c r="H24" s="22">
        <v>6.7000000000000004E-2</v>
      </c>
      <c r="I24" s="23"/>
    </row>
    <row r="25" spans="1:9" ht="12.9" customHeight="1">
      <c r="A25" s="17" t="s">
        <v>332</v>
      </c>
      <c r="B25" s="18" t="s">
        <v>333</v>
      </c>
      <c r="C25" s="14" t="s">
        <v>334</v>
      </c>
      <c r="D25" s="14" t="s">
        <v>84</v>
      </c>
      <c r="E25" s="19">
        <v>1200000</v>
      </c>
      <c r="F25" s="20">
        <v>1238.1623999999999</v>
      </c>
      <c r="G25" s="21">
        <v>3.39E-2</v>
      </c>
      <c r="H25" s="22">
        <v>6.7517999999999995E-2</v>
      </c>
      <c r="I25" s="23"/>
    </row>
    <row r="26" spans="1:9" ht="12.9" customHeight="1">
      <c r="A26" s="17" t="s">
        <v>1494</v>
      </c>
      <c r="B26" s="18" t="s">
        <v>1495</v>
      </c>
      <c r="C26" s="14" t="s">
        <v>1496</v>
      </c>
      <c r="D26" s="14" t="s">
        <v>1437</v>
      </c>
      <c r="E26" s="19">
        <v>1200</v>
      </c>
      <c r="F26" s="20">
        <v>1202.9748</v>
      </c>
      <c r="G26" s="21">
        <v>3.2899999999999999E-2</v>
      </c>
      <c r="H26" s="22">
        <v>9.1339500000000004E-2</v>
      </c>
      <c r="I26" s="23"/>
    </row>
    <row r="27" spans="1:9" ht="12.9" customHeight="1">
      <c r="A27" s="17" t="s">
        <v>1546</v>
      </c>
      <c r="B27" s="18" t="s">
        <v>1547</v>
      </c>
      <c r="C27" s="14" t="s">
        <v>1548</v>
      </c>
      <c r="D27" s="14" t="s">
        <v>1545</v>
      </c>
      <c r="E27" s="19">
        <v>1000</v>
      </c>
      <c r="F27" s="20">
        <v>1062.903</v>
      </c>
      <c r="G27" s="21">
        <v>2.9100000000000001E-2</v>
      </c>
      <c r="H27" s="22">
        <v>8.3376000000000006E-2</v>
      </c>
      <c r="I27" s="23"/>
    </row>
    <row r="28" spans="1:9" ht="12.9" customHeight="1">
      <c r="A28" s="17" t="s">
        <v>1632</v>
      </c>
      <c r="B28" s="18" t="s">
        <v>1633</v>
      </c>
      <c r="C28" s="14" t="s">
        <v>1634</v>
      </c>
      <c r="D28" s="14" t="s">
        <v>1437</v>
      </c>
      <c r="E28" s="19">
        <v>1000</v>
      </c>
      <c r="F28" s="20">
        <v>1026.7249999999999</v>
      </c>
      <c r="G28" s="21">
        <v>2.81E-2</v>
      </c>
      <c r="H28" s="22">
        <v>9.0300000000000005E-2</v>
      </c>
      <c r="I28" s="23"/>
    </row>
    <row r="29" spans="1:9" ht="12.9" customHeight="1">
      <c r="A29" s="17" t="s">
        <v>896</v>
      </c>
      <c r="B29" s="18" t="s">
        <v>897</v>
      </c>
      <c r="C29" s="14" t="s">
        <v>898</v>
      </c>
      <c r="D29" s="14" t="s">
        <v>899</v>
      </c>
      <c r="E29" s="19">
        <v>1000</v>
      </c>
      <c r="F29" s="20">
        <v>1014.787</v>
      </c>
      <c r="G29" s="21">
        <v>2.7699999999999999E-2</v>
      </c>
      <c r="H29" s="22">
        <v>0.10564999999999999</v>
      </c>
      <c r="I29" s="23"/>
    </row>
    <row r="30" spans="1:9" ht="12.9" customHeight="1">
      <c r="A30" s="17" t="s">
        <v>1497</v>
      </c>
      <c r="B30" s="18" t="s">
        <v>1498</v>
      </c>
      <c r="C30" s="14" t="s">
        <v>1499</v>
      </c>
      <c r="D30" s="14" t="s">
        <v>1500</v>
      </c>
      <c r="E30" s="19">
        <v>1000</v>
      </c>
      <c r="F30" s="20">
        <v>1012.548</v>
      </c>
      <c r="G30" s="21">
        <v>2.7699999999999999E-2</v>
      </c>
      <c r="H30" s="22">
        <v>9.9597000000000005E-2</v>
      </c>
      <c r="I30" s="23"/>
    </row>
    <row r="31" spans="1:9" ht="12.9" customHeight="1">
      <c r="A31" s="17" t="s">
        <v>1555</v>
      </c>
      <c r="B31" s="18" t="s">
        <v>1556</v>
      </c>
      <c r="C31" s="14" t="s">
        <v>1557</v>
      </c>
      <c r="D31" s="14" t="s">
        <v>1448</v>
      </c>
      <c r="E31" s="19">
        <v>1000</v>
      </c>
      <c r="F31" s="20">
        <v>1007.967</v>
      </c>
      <c r="G31" s="21">
        <v>2.76E-2</v>
      </c>
      <c r="H31" s="22">
        <v>8.2500000000000004E-2</v>
      </c>
      <c r="I31" s="23"/>
    </row>
    <row r="32" spans="1:9" ht="12.9" customHeight="1">
      <c r="A32" s="17" t="s">
        <v>1422</v>
      </c>
      <c r="B32" s="18" t="s">
        <v>1423</v>
      </c>
      <c r="C32" s="14" t="s">
        <v>1424</v>
      </c>
      <c r="D32" s="14" t="s">
        <v>1448</v>
      </c>
      <c r="E32" s="19">
        <v>1000</v>
      </c>
      <c r="F32" s="20">
        <v>1005.997</v>
      </c>
      <c r="G32" s="21">
        <v>2.75E-2</v>
      </c>
      <c r="H32" s="22">
        <v>8.7349999999999997E-2</v>
      </c>
      <c r="I32" s="23"/>
    </row>
    <row r="33" spans="1:9" ht="12.9" customHeight="1">
      <c r="A33" s="17" t="s">
        <v>1700</v>
      </c>
      <c r="B33" s="18" t="s">
        <v>1701</v>
      </c>
      <c r="C33" s="14" t="s">
        <v>1702</v>
      </c>
      <c r="D33" s="14" t="s">
        <v>1657</v>
      </c>
      <c r="E33" s="19">
        <v>1000</v>
      </c>
      <c r="F33" s="20">
        <v>1003.2809999999999</v>
      </c>
      <c r="G33" s="21">
        <v>2.7400000000000001E-2</v>
      </c>
      <c r="H33" s="22">
        <v>9.7237000000000004E-2</v>
      </c>
      <c r="I33" s="23"/>
    </row>
    <row r="34" spans="1:9" ht="12.9" customHeight="1">
      <c r="A34" s="17" t="s">
        <v>1644</v>
      </c>
      <c r="B34" s="18" t="s">
        <v>1645</v>
      </c>
      <c r="C34" s="14" t="s">
        <v>1646</v>
      </c>
      <c r="D34" s="14" t="s">
        <v>1647</v>
      </c>
      <c r="E34" s="19">
        <v>1000</v>
      </c>
      <c r="F34" s="20">
        <v>999.47400000000005</v>
      </c>
      <c r="G34" s="21">
        <v>2.7300000000000001E-2</v>
      </c>
      <c r="H34" s="22">
        <v>9.8763000000000004E-2</v>
      </c>
      <c r="I34" s="23"/>
    </row>
    <row r="35" spans="1:9" ht="12.9" customHeight="1">
      <c r="A35" s="17" t="s">
        <v>1511</v>
      </c>
      <c r="B35" s="18" t="s">
        <v>1512</v>
      </c>
      <c r="C35" s="14" t="s">
        <v>1513</v>
      </c>
      <c r="D35" s="14" t="s">
        <v>1493</v>
      </c>
      <c r="E35" s="19">
        <v>1000</v>
      </c>
      <c r="F35" s="20">
        <v>994.70500000000004</v>
      </c>
      <c r="G35" s="21">
        <v>2.7199999999999998E-2</v>
      </c>
      <c r="H35" s="22">
        <v>0.10335</v>
      </c>
      <c r="I35" s="23"/>
    </row>
    <row r="36" spans="1:9" ht="12.9" customHeight="1">
      <c r="A36" s="17" t="s">
        <v>1490</v>
      </c>
      <c r="B36" s="18" t="s">
        <v>1491</v>
      </c>
      <c r="C36" s="14" t="s">
        <v>1492</v>
      </c>
      <c r="D36" s="14" t="s">
        <v>1493</v>
      </c>
      <c r="E36" s="19">
        <v>1000</v>
      </c>
      <c r="F36" s="20">
        <v>987.76</v>
      </c>
      <c r="G36" s="21">
        <v>2.7E-2</v>
      </c>
      <c r="H36" s="22">
        <v>0.1022</v>
      </c>
      <c r="I36" s="23"/>
    </row>
    <row r="37" spans="1:9" ht="12.9" customHeight="1">
      <c r="A37" s="17" t="s">
        <v>1735</v>
      </c>
      <c r="B37" s="18" t="s">
        <v>1736</v>
      </c>
      <c r="C37" s="14" t="s">
        <v>1737</v>
      </c>
      <c r="D37" s="14" t="s">
        <v>1437</v>
      </c>
      <c r="E37" s="19">
        <v>230</v>
      </c>
      <c r="F37" s="20">
        <v>927.51409999999998</v>
      </c>
      <c r="G37" s="21">
        <v>2.5399999999999999E-2</v>
      </c>
      <c r="H37" s="22">
        <v>7.7350000000000002E-2</v>
      </c>
      <c r="I37" s="23"/>
    </row>
    <row r="38" spans="1:9" ht="12.9" customHeight="1">
      <c r="A38" s="17" t="s">
        <v>1635</v>
      </c>
      <c r="B38" s="18" t="s">
        <v>1636</v>
      </c>
      <c r="C38" s="14" t="s">
        <v>1637</v>
      </c>
      <c r="D38" s="14" t="s">
        <v>1437</v>
      </c>
      <c r="E38" s="19">
        <v>800</v>
      </c>
      <c r="F38" s="20">
        <v>812.21439999999996</v>
      </c>
      <c r="G38" s="21">
        <v>2.2200000000000001E-2</v>
      </c>
      <c r="H38" s="22">
        <v>7.6600000000000001E-2</v>
      </c>
      <c r="I38" s="23"/>
    </row>
    <row r="39" spans="1:9" ht="12.9" customHeight="1">
      <c r="A39" s="17" t="s">
        <v>1501</v>
      </c>
      <c r="B39" s="18" t="s">
        <v>1502</v>
      </c>
      <c r="C39" s="14" t="s">
        <v>1503</v>
      </c>
      <c r="D39" s="14" t="s">
        <v>1504</v>
      </c>
      <c r="E39" s="19">
        <v>1000</v>
      </c>
      <c r="F39" s="20">
        <v>811.23099999999999</v>
      </c>
      <c r="G39" s="21">
        <v>2.2200000000000001E-2</v>
      </c>
      <c r="H39" s="22">
        <v>9.5002000000000003E-2</v>
      </c>
      <c r="I39" s="23"/>
    </row>
    <row r="40" spans="1:9" ht="12.9" customHeight="1">
      <c r="A40" s="17" t="s">
        <v>1658</v>
      </c>
      <c r="B40" s="18" t="s">
        <v>1659</v>
      </c>
      <c r="C40" s="14" t="s">
        <v>1660</v>
      </c>
      <c r="D40" s="14" t="s">
        <v>899</v>
      </c>
      <c r="E40" s="19">
        <v>800</v>
      </c>
      <c r="F40" s="20">
        <v>800.09839999999997</v>
      </c>
      <c r="G40" s="21">
        <v>2.1899999999999999E-2</v>
      </c>
      <c r="H40" s="22">
        <v>9.5033999999999993E-2</v>
      </c>
      <c r="I40" s="23"/>
    </row>
    <row r="41" spans="1:9" ht="12.9" customHeight="1">
      <c r="A41" s="17" t="s">
        <v>1641</v>
      </c>
      <c r="B41" s="18" t="s">
        <v>1642</v>
      </c>
      <c r="C41" s="14" t="s">
        <v>1643</v>
      </c>
      <c r="D41" s="14" t="s">
        <v>1437</v>
      </c>
      <c r="E41" s="19">
        <v>800</v>
      </c>
      <c r="F41" s="20">
        <v>799.61279999999999</v>
      </c>
      <c r="G41" s="21">
        <v>2.1899999999999999E-2</v>
      </c>
      <c r="H41" s="22">
        <v>8.2502000000000006E-2</v>
      </c>
      <c r="I41" s="23"/>
    </row>
    <row r="42" spans="1:9" ht="12.9" customHeight="1">
      <c r="A42" s="17" t="s">
        <v>1664</v>
      </c>
      <c r="B42" s="18" t="s">
        <v>1665</v>
      </c>
      <c r="C42" s="14" t="s">
        <v>1666</v>
      </c>
      <c r="D42" s="14" t="s">
        <v>1493</v>
      </c>
      <c r="E42" s="19">
        <v>1000</v>
      </c>
      <c r="F42" s="20">
        <v>750.95100000000002</v>
      </c>
      <c r="G42" s="21">
        <v>2.0500000000000001E-2</v>
      </c>
      <c r="H42" s="22">
        <v>9.4515000000000002E-2</v>
      </c>
      <c r="I42" s="23"/>
    </row>
    <row r="43" spans="1:9" ht="12.9" customHeight="1">
      <c r="A43" s="17" t="s">
        <v>1508</v>
      </c>
      <c r="B43" s="18" t="s">
        <v>1509</v>
      </c>
      <c r="C43" s="14" t="s">
        <v>1510</v>
      </c>
      <c r="D43" s="14" t="s">
        <v>1504</v>
      </c>
      <c r="E43" s="19">
        <v>700</v>
      </c>
      <c r="F43" s="20">
        <v>701.23760000000004</v>
      </c>
      <c r="G43" s="21">
        <v>1.9199999999999998E-2</v>
      </c>
      <c r="H43" s="22">
        <v>8.9137999999999995E-2</v>
      </c>
      <c r="I43" s="23"/>
    </row>
    <row r="44" spans="1:9" ht="12.9" customHeight="1">
      <c r="A44" s="17" t="s">
        <v>1173</v>
      </c>
      <c r="B44" s="18" t="s">
        <v>1174</v>
      </c>
      <c r="C44" s="14" t="s">
        <v>1175</v>
      </c>
      <c r="D44" s="14" t="s">
        <v>84</v>
      </c>
      <c r="E44" s="19">
        <v>700000</v>
      </c>
      <c r="F44" s="20">
        <v>687.04930000000002</v>
      </c>
      <c r="G44" s="21">
        <v>1.8800000000000001E-2</v>
      </c>
      <c r="H44" s="22">
        <v>6.7049999999999998E-2</v>
      </c>
      <c r="I44" s="23"/>
    </row>
    <row r="45" spans="1:9" ht="12.9" customHeight="1">
      <c r="A45" s="17" t="s">
        <v>1679</v>
      </c>
      <c r="B45" s="18" t="s">
        <v>1680</v>
      </c>
      <c r="C45" s="14" t="s">
        <v>1681</v>
      </c>
      <c r="D45" s="14" t="s">
        <v>109</v>
      </c>
      <c r="E45" s="19">
        <v>500</v>
      </c>
      <c r="F45" s="20">
        <v>509.56349999999998</v>
      </c>
      <c r="G45" s="21">
        <v>1.3899999999999999E-2</v>
      </c>
      <c r="H45" s="22">
        <v>7.3700000000000002E-2</v>
      </c>
      <c r="I45" s="23"/>
    </row>
    <row r="46" spans="1:9" ht="12.9" customHeight="1">
      <c r="A46" s="17" t="s">
        <v>1697</v>
      </c>
      <c r="B46" s="18" t="s">
        <v>1698</v>
      </c>
      <c r="C46" s="14" t="s">
        <v>1699</v>
      </c>
      <c r="D46" s="14" t="s">
        <v>1545</v>
      </c>
      <c r="E46" s="19">
        <v>500</v>
      </c>
      <c r="F46" s="20">
        <v>501.44200000000001</v>
      </c>
      <c r="G46" s="21">
        <v>1.37E-2</v>
      </c>
      <c r="H46" s="22">
        <v>9.1339000000000004E-2</v>
      </c>
      <c r="I46" s="23"/>
    </row>
    <row r="47" spans="1:9" ht="12.9" customHeight="1">
      <c r="A47" s="17" t="s">
        <v>1295</v>
      </c>
      <c r="B47" s="18" t="s">
        <v>1296</v>
      </c>
      <c r="C47" s="14" t="s">
        <v>1297</v>
      </c>
      <c r="D47" s="14" t="s">
        <v>84</v>
      </c>
      <c r="E47" s="19">
        <v>319200</v>
      </c>
      <c r="F47" s="20">
        <v>319.16840000000002</v>
      </c>
      <c r="G47" s="21">
        <v>8.6999999999999994E-3</v>
      </c>
      <c r="H47" s="22">
        <v>7.5686000000000003E-2</v>
      </c>
      <c r="I47" s="23"/>
    </row>
    <row r="48" spans="1:9" ht="12.9" customHeight="1">
      <c r="A48" s="17" t="s">
        <v>1629</v>
      </c>
      <c r="B48" s="18" t="s">
        <v>1630</v>
      </c>
      <c r="C48" s="14" t="s">
        <v>1631</v>
      </c>
      <c r="D48" s="14" t="s">
        <v>1504</v>
      </c>
      <c r="E48" s="19">
        <v>200</v>
      </c>
      <c r="F48" s="20">
        <v>200.66120000000001</v>
      </c>
      <c r="G48" s="21">
        <v>5.4999999999999997E-3</v>
      </c>
      <c r="H48" s="22">
        <v>8.5171999999999998E-2</v>
      </c>
      <c r="I48" s="23"/>
    </row>
    <row r="49" spans="1:9" ht="12.9" customHeight="1">
      <c r="A49" s="17" t="s">
        <v>1738</v>
      </c>
      <c r="B49" s="18" t="s">
        <v>1739</v>
      </c>
      <c r="C49" s="14" t="s">
        <v>1740</v>
      </c>
      <c r="D49" s="14" t="s">
        <v>84</v>
      </c>
      <c r="E49" s="19">
        <v>138800</v>
      </c>
      <c r="F49" s="20">
        <v>137.65889999999999</v>
      </c>
      <c r="G49" s="21">
        <v>3.8E-3</v>
      </c>
      <c r="H49" s="22">
        <v>7.4228000000000002E-2</v>
      </c>
      <c r="I49" s="23"/>
    </row>
    <row r="50" spans="1:9" ht="12.9" customHeight="1">
      <c r="A50" s="17" t="s">
        <v>1727</v>
      </c>
      <c r="B50" s="18" t="s">
        <v>1728</v>
      </c>
      <c r="C50" s="14" t="s">
        <v>1729</v>
      </c>
      <c r="D50" s="14" t="s">
        <v>84</v>
      </c>
      <c r="E50" s="19">
        <v>50000</v>
      </c>
      <c r="F50" s="20">
        <v>52.500799999999998</v>
      </c>
      <c r="G50" s="21">
        <v>1.4E-3</v>
      </c>
      <c r="H50" s="22">
        <v>5.9638999999999998E-2</v>
      </c>
      <c r="I50" s="23"/>
    </row>
    <row r="51" spans="1:9" ht="12.9" customHeight="1">
      <c r="A51" s="17" t="s">
        <v>406</v>
      </c>
      <c r="B51" s="18" t="s">
        <v>407</v>
      </c>
      <c r="C51" s="14" t="s">
        <v>408</v>
      </c>
      <c r="D51" s="14" t="s">
        <v>84</v>
      </c>
      <c r="E51" s="19">
        <v>50000</v>
      </c>
      <c r="F51" s="20">
        <v>51.746699999999997</v>
      </c>
      <c r="G51" s="21">
        <v>1.4E-3</v>
      </c>
      <c r="H51" s="22">
        <v>6.7457000000000003E-2</v>
      </c>
      <c r="I51" s="23"/>
    </row>
    <row r="52" spans="1:9" ht="12.9" customHeight="1">
      <c r="A52" s="17" t="s">
        <v>922</v>
      </c>
      <c r="B52" s="18" t="s">
        <v>923</v>
      </c>
      <c r="C52" s="14" t="s">
        <v>924</v>
      </c>
      <c r="D52" s="14" t="s">
        <v>84</v>
      </c>
      <c r="E52" s="19">
        <v>6100</v>
      </c>
      <c r="F52" s="20">
        <v>6.109</v>
      </c>
      <c r="G52" s="21">
        <v>2.0000000000000001E-4</v>
      </c>
      <c r="H52" s="22">
        <v>5.1506000000000003E-2</v>
      </c>
      <c r="I52" s="23"/>
    </row>
    <row r="53" spans="1:9" ht="12.9" customHeight="1">
      <c r="A53" s="5"/>
      <c r="B53" s="13" t="s">
        <v>88</v>
      </c>
      <c r="C53" s="14"/>
      <c r="D53" s="14"/>
      <c r="E53" s="14"/>
      <c r="F53" s="24">
        <v>32813.165200000003</v>
      </c>
      <c r="G53" s="25">
        <v>0.8972</v>
      </c>
      <c r="H53" s="26"/>
      <c r="I53" s="27"/>
    </row>
    <row r="54" spans="1:9" ht="12.9" customHeight="1">
      <c r="A54" s="5"/>
      <c r="B54" s="28" t="s">
        <v>89</v>
      </c>
      <c r="C54" s="2"/>
      <c r="D54" s="2"/>
      <c r="E54" s="2"/>
      <c r="F54" s="26" t="s">
        <v>90</v>
      </c>
      <c r="G54" s="26" t="s">
        <v>90</v>
      </c>
      <c r="H54" s="26"/>
      <c r="I54" s="27"/>
    </row>
    <row r="55" spans="1:9" ht="12.9" customHeight="1">
      <c r="A55" s="5"/>
      <c r="B55" s="28" t="s">
        <v>88</v>
      </c>
      <c r="C55" s="2"/>
      <c r="D55" s="2"/>
      <c r="E55" s="2"/>
      <c r="F55" s="26" t="s">
        <v>90</v>
      </c>
      <c r="G55" s="26" t="s">
        <v>90</v>
      </c>
      <c r="H55" s="26"/>
      <c r="I55" s="27"/>
    </row>
    <row r="56" spans="1:9" ht="12.9" customHeight="1">
      <c r="A56" s="5"/>
      <c r="B56" s="13" t="s">
        <v>751</v>
      </c>
      <c r="C56" s="14"/>
      <c r="D56" s="14"/>
      <c r="E56" s="14"/>
      <c r="F56" s="5"/>
      <c r="G56" s="15"/>
      <c r="H56" s="15"/>
      <c r="I56" s="16"/>
    </row>
    <row r="57" spans="1:9" ht="12.9" customHeight="1">
      <c r="A57" s="17" t="s">
        <v>759</v>
      </c>
      <c r="B57" s="18" t="s">
        <v>760</v>
      </c>
      <c r="C57" s="14" t="s">
        <v>761</v>
      </c>
      <c r="D57" s="14" t="s">
        <v>755</v>
      </c>
      <c r="E57" s="19">
        <v>7</v>
      </c>
      <c r="F57" s="20">
        <v>705.32219999999995</v>
      </c>
      <c r="G57" s="21">
        <v>1.9300000000000001E-2</v>
      </c>
      <c r="H57" s="22">
        <v>7.3246000000000006E-2</v>
      </c>
      <c r="I57" s="23"/>
    </row>
    <row r="58" spans="1:9" ht="12.9" customHeight="1">
      <c r="A58" s="17" t="s">
        <v>752</v>
      </c>
      <c r="B58" s="18" t="s">
        <v>753</v>
      </c>
      <c r="C58" s="14" t="s">
        <v>754</v>
      </c>
      <c r="D58" s="14" t="s">
        <v>755</v>
      </c>
      <c r="E58" s="19">
        <v>3</v>
      </c>
      <c r="F58" s="20">
        <v>303.25729999999999</v>
      </c>
      <c r="G58" s="21">
        <v>8.3000000000000001E-3</v>
      </c>
      <c r="H58" s="22">
        <v>7.3596999999999996E-2</v>
      </c>
      <c r="I58" s="23"/>
    </row>
    <row r="59" spans="1:9" ht="12.9" customHeight="1">
      <c r="A59" s="5"/>
      <c r="B59" s="13" t="s">
        <v>88</v>
      </c>
      <c r="C59" s="14"/>
      <c r="D59" s="14"/>
      <c r="E59" s="14"/>
      <c r="F59" s="24">
        <v>1008.5795000000001</v>
      </c>
      <c r="G59" s="25">
        <v>2.76E-2</v>
      </c>
      <c r="H59" s="26"/>
      <c r="I59" s="27"/>
    </row>
    <row r="60" spans="1:9" ht="12.9" customHeight="1">
      <c r="A60" s="5"/>
      <c r="B60" s="28" t="s">
        <v>91</v>
      </c>
      <c r="C60" s="29"/>
      <c r="D60" s="2"/>
      <c r="E60" s="29"/>
      <c r="F60" s="24">
        <v>33821.7448</v>
      </c>
      <c r="G60" s="25">
        <v>0.92479999999999996</v>
      </c>
      <c r="H60" s="26"/>
      <c r="I60" s="27"/>
    </row>
    <row r="61" spans="1:9" ht="12.9" customHeight="1">
      <c r="A61" s="5"/>
      <c r="B61" s="13" t="s">
        <v>285</v>
      </c>
      <c r="C61" s="14"/>
      <c r="D61" s="14"/>
      <c r="E61" s="14"/>
      <c r="F61" s="14"/>
      <c r="G61" s="14"/>
      <c r="H61" s="15"/>
      <c r="I61" s="16"/>
    </row>
    <row r="62" spans="1:9" ht="12.9" customHeight="1">
      <c r="A62" s="5"/>
      <c r="B62" s="13" t="s">
        <v>789</v>
      </c>
      <c r="C62" s="14"/>
      <c r="D62" s="14"/>
      <c r="E62" s="14"/>
      <c r="F62" s="5"/>
      <c r="G62" s="15"/>
      <c r="H62" s="15"/>
      <c r="I62" s="16"/>
    </row>
    <row r="63" spans="1:9" ht="12.9" customHeight="1">
      <c r="A63" s="17" t="s">
        <v>790</v>
      </c>
      <c r="B63" s="18" t="s">
        <v>791</v>
      </c>
      <c r="C63" s="14" t="s">
        <v>792</v>
      </c>
      <c r="D63" s="14"/>
      <c r="E63" s="19">
        <v>1555.222</v>
      </c>
      <c r="F63" s="20">
        <v>179.14609999999999</v>
      </c>
      <c r="G63" s="21">
        <v>4.8999999999999998E-3</v>
      </c>
      <c r="H63" s="22"/>
      <c r="I63" s="23"/>
    </row>
    <row r="64" spans="1:9" ht="12.9" customHeight="1">
      <c r="A64" s="5"/>
      <c r="B64" s="13" t="s">
        <v>88</v>
      </c>
      <c r="C64" s="14"/>
      <c r="D64" s="14"/>
      <c r="E64" s="14"/>
      <c r="F64" s="24">
        <v>179.14609999999999</v>
      </c>
      <c r="G64" s="25">
        <v>4.8999999999999998E-3</v>
      </c>
      <c r="H64" s="26"/>
      <c r="I64" s="27"/>
    </row>
    <row r="65" spans="1:9" ht="12.9" customHeight="1">
      <c r="A65" s="5"/>
      <c r="B65" s="28" t="s">
        <v>91</v>
      </c>
      <c r="C65" s="29"/>
      <c r="D65" s="2"/>
      <c r="E65" s="29"/>
      <c r="F65" s="24">
        <v>179.14609999999999</v>
      </c>
      <c r="G65" s="25">
        <v>4.8999999999999998E-3</v>
      </c>
      <c r="H65" s="26"/>
      <c r="I65" s="27"/>
    </row>
    <row r="66" spans="1:9" ht="12.9" customHeight="1">
      <c r="A66" s="5"/>
      <c r="B66" s="13" t="s">
        <v>92</v>
      </c>
      <c r="C66" s="14"/>
      <c r="D66" s="14"/>
      <c r="E66" s="14"/>
      <c r="F66" s="14"/>
      <c r="G66" s="14"/>
      <c r="H66" s="15"/>
      <c r="I66" s="16"/>
    </row>
    <row r="67" spans="1:9" ht="12.9" customHeight="1">
      <c r="A67" s="17" t="s">
        <v>93</v>
      </c>
      <c r="B67" s="18" t="s">
        <v>94</v>
      </c>
      <c r="C67" s="14"/>
      <c r="D67" s="14"/>
      <c r="E67" s="19"/>
      <c r="F67" s="20">
        <v>175.16</v>
      </c>
      <c r="G67" s="21">
        <v>4.7999999999999996E-3</v>
      </c>
      <c r="H67" s="22">
        <v>5.0765106483747789E-2</v>
      </c>
      <c r="I67" s="23"/>
    </row>
    <row r="68" spans="1:9" ht="12.9" customHeight="1">
      <c r="A68" s="5"/>
      <c r="B68" s="13" t="s">
        <v>88</v>
      </c>
      <c r="C68" s="14"/>
      <c r="D68" s="14"/>
      <c r="E68" s="14"/>
      <c r="F68" s="24">
        <v>175.16</v>
      </c>
      <c r="G68" s="25">
        <v>4.7999999999999996E-3</v>
      </c>
      <c r="H68" s="26"/>
      <c r="I68" s="27"/>
    </row>
    <row r="69" spans="1:9" ht="12.9" customHeight="1">
      <c r="A69" s="5"/>
      <c r="B69" s="28" t="s">
        <v>91</v>
      </c>
      <c r="C69" s="29"/>
      <c r="D69" s="2"/>
      <c r="E69" s="29"/>
      <c r="F69" s="24">
        <v>175.16</v>
      </c>
      <c r="G69" s="25">
        <v>4.7999999999999996E-3</v>
      </c>
      <c r="H69" s="26"/>
      <c r="I69" s="27"/>
    </row>
    <row r="70" spans="1:9" ht="12.9" customHeight="1">
      <c r="A70" s="5"/>
      <c r="B70" s="28" t="s">
        <v>96</v>
      </c>
      <c r="C70" s="14"/>
      <c r="D70" s="2"/>
      <c r="E70" s="14"/>
      <c r="F70" s="31">
        <v>1267.9725000000001</v>
      </c>
      <c r="G70" s="25">
        <v>3.4599999999999999E-2</v>
      </c>
      <c r="H70" s="26"/>
      <c r="I70" s="27"/>
    </row>
    <row r="71" spans="1:9" ht="12.9" customHeight="1">
      <c r="A71" s="5"/>
      <c r="B71" s="32" t="s">
        <v>97</v>
      </c>
      <c r="C71" s="33"/>
      <c r="D71" s="33"/>
      <c r="E71" s="33"/>
      <c r="F71" s="34">
        <v>36572.44</v>
      </c>
      <c r="G71" s="35">
        <v>1</v>
      </c>
      <c r="H71" s="36"/>
      <c r="I71" s="37"/>
    </row>
    <row r="72" spans="1:9" ht="12.9" customHeight="1">
      <c r="A72" s="5"/>
      <c r="B72" s="7"/>
      <c r="C72" s="5"/>
      <c r="D72" s="5"/>
      <c r="E72" s="5"/>
      <c r="F72" s="5"/>
      <c r="G72" s="5"/>
      <c r="H72" s="5"/>
      <c r="I72" s="5"/>
    </row>
    <row r="73" spans="1:9" ht="12.9" customHeight="1">
      <c r="A73" s="5"/>
      <c r="B73" s="4" t="s">
        <v>793</v>
      </c>
      <c r="C73" s="5"/>
      <c r="D73" s="5"/>
      <c r="E73" s="5"/>
      <c r="F73" s="5"/>
      <c r="G73" s="5"/>
      <c r="H73" s="5"/>
      <c r="I73" s="5"/>
    </row>
    <row r="74" spans="1:9" ht="12.9" customHeight="1">
      <c r="A74" s="5"/>
      <c r="B74" s="4" t="s">
        <v>146</v>
      </c>
      <c r="C74" s="5"/>
      <c r="D74" s="5"/>
      <c r="E74" s="5"/>
      <c r="F74" s="5"/>
      <c r="G74" s="5"/>
      <c r="H74" s="5"/>
      <c r="I74" s="5"/>
    </row>
    <row r="75" spans="1:9" ht="12.9" customHeight="1">
      <c r="A75" s="5"/>
      <c r="B75" s="4" t="s">
        <v>99</v>
      </c>
      <c r="C75" s="5"/>
      <c r="D75" s="5"/>
      <c r="E75" s="5"/>
      <c r="F75" s="5"/>
      <c r="G75" s="5"/>
      <c r="H75" s="5"/>
      <c r="I75" s="5"/>
    </row>
    <row r="76" spans="1:9" ht="26.1" customHeight="1">
      <c r="A76" s="5"/>
      <c r="B76" s="50" t="s">
        <v>100</v>
      </c>
      <c r="C76" s="50"/>
      <c r="D76" s="50"/>
      <c r="E76" s="50"/>
      <c r="F76" s="50"/>
      <c r="G76" s="50"/>
      <c r="H76" s="50"/>
      <c r="I76" s="50"/>
    </row>
    <row r="77" spans="1:9" ht="12.9" customHeight="1">
      <c r="A77" s="5"/>
      <c r="B77" s="50" t="s">
        <v>101</v>
      </c>
      <c r="C77" s="50"/>
      <c r="D77" s="50"/>
      <c r="E77" s="50"/>
      <c r="F77" s="50"/>
      <c r="G77" s="50"/>
      <c r="H77" s="50"/>
      <c r="I77" s="50"/>
    </row>
    <row r="78" spans="1:9" ht="12.9" customHeight="1">
      <c r="A78" s="5"/>
      <c r="B78" s="50"/>
      <c r="C78" s="50"/>
      <c r="D78" s="50"/>
      <c r="E78" s="50"/>
      <c r="F78" s="50"/>
      <c r="G78" s="50"/>
      <c r="H78" s="50"/>
      <c r="I78" s="50"/>
    </row>
    <row r="79" spans="1:9" ht="12.9" customHeight="1">
      <c r="A79" s="5"/>
      <c r="B79" s="50"/>
      <c r="C79" s="50"/>
      <c r="D79" s="50"/>
      <c r="E79" s="50"/>
      <c r="F79" s="50"/>
      <c r="G79" s="50"/>
      <c r="H79" s="50"/>
      <c r="I79" s="50"/>
    </row>
    <row r="80" spans="1:9" ht="12.9" customHeight="1">
      <c r="A80" s="5"/>
      <c r="B80" s="5"/>
      <c r="C80" s="51" t="s">
        <v>1741</v>
      </c>
      <c r="D80" s="51"/>
      <c r="E80" s="51"/>
      <c r="F80" s="51"/>
      <c r="G80" s="5"/>
      <c r="H80" s="5"/>
      <c r="I80" s="5"/>
    </row>
    <row r="81" spans="1:9" ht="12.9" customHeight="1">
      <c r="A81" s="5"/>
      <c r="B81" s="38" t="s">
        <v>103</v>
      </c>
      <c r="C81" s="51" t="s">
        <v>104</v>
      </c>
      <c r="D81" s="51"/>
      <c r="E81" s="51"/>
      <c r="F81" s="51"/>
      <c r="G81" s="5"/>
      <c r="H81" s="5"/>
      <c r="I81" s="5"/>
    </row>
    <row r="82" spans="1:9" ht="135" customHeight="1">
      <c r="A82" s="5"/>
      <c r="B82" s="39"/>
      <c r="C82" s="52"/>
      <c r="D82" s="52"/>
      <c r="E82" s="5"/>
      <c r="F82" s="5"/>
      <c r="G82" s="5"/>
      <c r="H82" s="5"/>
      <c r="I82" s="5"/>
    </row>
  </sheetData>
  <mergeCells count="7">
    <mergeCell ref="B79:I79"/>
    <mergeCell ref="C80:F80"/>
    <mergeCell ref="C81:F81"/>
    <mergeCell ref="C82:D82"/>
    <mergeCell ref="B76:I76"/>
    <mergeCell ref="B77:I77"/>
    <mergeCell ref="B78:I78"/>
  </mergeCells>
  <hyperlinks>
    <hyperlink ref="A1" location="AxisCreditRiskFund" display="AXISIOF" xr:uid="{00000000-0004-0000-2900-000000000000}"/>
    <hyperlink ref="B1" location="AxisCreditRiskFund" display="Axis Credit Risk Fund" xr:uid="{00000000-0004-0000-2900-000001000000}"/>
  </hyperlinks>
  <pageMargins left="0" right="0" top="0" bottom="0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/>
  </sheetPr>
  <dimension ref="A1:I96"/>
  <sheetViews>
    <sheetView topLeftCell="A58" workbookViewId="0">
      <selection activeCell="C39" sqref="C39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39</v>
      </c>
      <c r="B1" s="4" t="s">
        <v>40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148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149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154</v>
      </c>
      <c r="B7" s="18" t="s">
        <v>155</v>
      </c>
      <c r="C7" s="14" t="s">
        <v>156</v>
      </c>
      <c r="D7" s="14" t="s">
        <v>157</v>
      </c>
      <c r="E7" s="19">
        <v>32282</v>
      </c>
      <c r="F7" s="20">
        <v>502.3725</v>
      </c>
      <c r="G7" s="21">
        <v>2.1499999999999998E-2</v>
      </c>
      <c r="H7" s="30"/>
      <c r="I7" s="23"/>
    </row>
    <row r="8" spans="1:9" ht="12.9" customHeight="1">
      <c r="A8" s="17" t="s">
        <v>150</v>
      </c>
      <c r="B8" s="18" t="s">
        <v>151</v>
      </c>
      <c r="C8" s="14" t="s">
        <v>152</v>
      </c>
      <c r="D8" s="14" t="s">
        <v>153</v>
      </c>
      <c r="E8" s="19">
        <v>49066</v>
      </c>
      <c r="F8" s="20">
        <v>488.74639999999999</v>
      </c>
      <c r="G8" s="21">
        <v>2.0899999999999998E-2</v>
      </c>
      <c r="H8" s="30"/>
      <c r="I8" s="23"/>
    </row>
    <row r="9" spans="1:9" ht="12.9" customHeight="1">
      <c r="A9" s="17" t="s">
        <v>161</v>
      </c>
      <c r="B9" s="18" t="s">
        <v>162</v>
      </c>
      <c r="C9" s="14" t="s">
        <v>163</v>
      </c>
      <c r="D9" s="14" t="s">
        <v>164</v>
      </c>
      <c r="E9" s="19">
        <v>24458</v>
      </c>
      <c r="F9" s="20">
        <v>392.99110000000002</v>
      </c>
      <c r="G9" s="21">
        <v>1.6799999999999999E-2</v>
      </c>
      <c r="H9" s="30"/>
      <c r="I9" s="23"/>
    </row>
    <row r="10" spans="1:9" ht="12.9" customHeight="1">
      <c r="A10" s="17" t="s">
        <v>158</v>
      </c>
      <c r="B10" s="18" t="s">
        <v>159</v>
      </c>
      <c r="C10" s="14" t="s">
        <v>160</v>
      </c>
      <c r="D10" s="14" t="s">
        <v>153</v>
      </c>
      <c r="E10" s="19">
        <v>27577</v>
      </c>
      <c r="F10" s="20">
        <v>376.4812</v>
      </c>
      <c r="G10" s="21">
        <v>1.61E-2</v>
      </c>
      <c r="H10" s="30"/>
      <c r="I10" s="23"/>
    </row>
    <row r="11" spans="1:9" ht="12.9" customHeight="1">
      <c r="A11" s="17" t="s">
        <v>173</v>
      </c>
      <c r="B11" s="18" t="s">
        <v>174</v>
      </c>
      <c r="C11" s="14" t="s">
        <v>175</v>
      </c>
      <c r="D11" s="14" t="s">
        <v>153</v>
      </c>
      <c r="E11" s="19">
        <v>36762</v>
      </c>
      <c r="F11" s="20">
        <v>355.5804</v>
      </c>
      <c r="G11" s="21">
        <v>1.52E-2</v>
      </c>
      <c r="H11" s="30"/>
      <c r="I11" s="23"/>
    </row>
    <row r="12" spans="1:9" ht="12.9" customHeight="1">
      <c r="A12" s="17" t="s">
        <v>169</v>
      </c>
      <c r="B12" s="18" t="s">
        <v>170</v>
      </c>
      <c r="C12" s="14" t="s">
        <v>171</v>
      </c>
      <c r="D12" s="14" t="s">
        <v>172</v>
      </c>
      <c r="E12" s="19">
        <v>7552</v>
      </c>
      <c r="F12" s="20">
        <v>309.0505</v>
      </c>
      <c r="G12" s="21">
        <v>1.32E-2</v>
      </c>
      <c r="H12" s="30"/>
      <c r="I12" s="23"/>
    </row>
    <row r="13" spans="1:9" ht="12.9" customHeight="1">
      <c r="A13" s="17" t="s">
        <v>221</v>
      </c>
      <c r="B13" s="18" t="s">
        <v>222</v>
      </c>
      <c r="C13" s="14" t="s">
        <v>223</v>
      </c>
      <c r="D13" s="14" t="s">
        <v>200</v>
      </c>
      <c r="E13" s="19">
        <v>16332</v>
      </c>
      <c r="F13" s="20">
        <v>246.28659999999999</v>
      </c>
      <c r="G13" s="21">
        <v>1.0500000000000001E-2</v>
      </c>
      <c r="H13" s="30"/>
      <c r="I13" s="23"/>
    </row>
    <row r="14" spans="1:9" ht="12.9" customHeight="1">
      <c r="A14" s="17" t="s">
        <v>165</v>
      </c>
      <c r="B14" s="18" t="s">
        <v>166</v>
      </c>
      <c r="C14" s="14" t="s">
        <v>167</v>
      </c>
      <c r="D14" s="14" t="s">
        <v>168</v>
      </c>
      <c r="E14" s="19">
        <v>10345</v>
      </c>
      <c r="F14" s="20">
        <v>214.1105</v>
      </c>
      <c r="G14" s="21">
        <v>9.1999999999999998E-3</v>
      </c>
      <c r="H14" s="30"/>
      <c r="I14" s="23"/>
    </row>
    <row r="15" spans="1:9" ht="12.9" customHeight="1">
      <c r="A15" s="17" t="s">
        <v>208</v>
      </c>
      <c r="B15" s="18" t="s">
        <v>209</v>
      </c>
      <c r="C15" s="14" t="s">
        <v>210</v>
      </c>
      <c r="D15" s="14" t="s">
        <v>211</v>
      </c>
      <c r="E15" s="19">
        <v>61472</v>
      </c>
      <c r="F15" s="20">
        <v>199.13849999999999</v>
      </c>
      <c r="G15" s="21">
        <v>8.5000000000000006E-3</v>
      </c>
      <c r="H15" s="30"/>
      <c r="I15" s="23"/>
    </row>
    <row r="16" spans="1:9" ht="12.9" customHeight="1">
      <c r="A16" s="17" t="s">
        <v>183</v>
      </c>
      <c r="B16" s="18" t="s">
        <v>184</v>
      </c>
      <c r="C16" s="14" t="s">
        <v>185</v>
      </c>
      <c r="D16" s="14" t="s">
        <v>153</v>
      </c>
      <c r="E16" s="19">
        <v>8309</v>
      </c>
      <c r="F16" s="20">
        <v>181.24420000000001</v>
      </c>
      <c r="G16" s="21">
        <v>7.7000000000000002E-3</v>
      </c>
      <c r="H16" s="30"/>
      <c r="I16" s="23"/>
    </row>
    <row r="17" spans="1:9" ht="12.9" customHeight="1">
      <c r="A17" s="17" t="s">
        <v>880</v>
      </c>
      <c r="B17" s="18" t="s">
        <v>881</v>
      </c>
      <c r="C17" s="14" t="s">
        <v>882</v>
      </c>
      <c r="D17" s="14" t="s">
        <v>193</v>
      </c>
      <c r="E17" s="19">
        <v>150</v>
      </c>
      <c r="F17" s="20">
        <v>178.42449999999999</v>
      </c>
      <c r="G17" s="21">
        <v>7.6E-3</v>
      </c>
      <c r="H17" s="22" t="s">
        <v>3062</v>
      </c>
      <c r="I17" s="23"/>
    </row>
    <row r="18" spans="1:9" ht="12.9" customHeight="1">
      <c r="A18" s="17" t="s">
        <v>224</v>
      </c>
      <c r="B18" s="18" t="s">
        <v>225</v>
      </c>
      <c r="C18" s="14" t="s">
        <v>226</v>
      </c>
      <c r="D18" s="14" t="s">
        <v>216</v>
      </c>
      <c r="E18" s="19">
        <v>20515</v>
      </c>
      <c r="F18" s="20">
        <v>158.51939999999999</v>
      </c>
      <c r="G18" s="21">
        <v>6.7999999999999996E-3</v>
      </c>
      <c r="H18" s="22"/>
      <c r="I18" s="23"/>
    </row>
    <row r="19" spans="1:9" ht="12.9" customHeight="1">
      <c r="A19" s="17" t="s">
        <v>186</v>
      </c>
      <c r="B19" s="18" t="s">
        <v>187</v>
      </c>
      <c r="C19" s="14" t="s">
        <v>188</v>
      </c>
      <c r="D19" s="14" t="s">
        <v>189</v>
      </c>
      <c r="E19" s="19">
        <v>4325</v>
      </c>
      <c r="F19" s="20">
        <v>156.04599999999999</v>
      </c>
      <c r="G19" s="21">
        <v>6.7000000000000002E-3</v>
      </c>
      <c r="H19" s="22"/>
      <c r="I19" s="23"/>
    </row>
    <row r="20" spans="1:9" ht="12.9" customHeight="1">
      <c r="A20" s="17" t="s">
        <v>255</v>
      </c>
      <c r="B20" s="18" t="s">
        <v>256</v>
      </c>
      <c r="C20" s="14" t="s">
        <v>257</v>
      </c>
      <c r="D20" s="14" t="s">
        <v>153</v>
      </c>
      <c r="E20" s="19">
        <v>54290</v>
      </c>
      <c r="F20" s="20">
        <v>154.7808</v>
      </c>
      <c r="G20" s="21">
        <v>6.6E-3</v>
      </c>
      <c r="H20" s="22"/>
      <c r="I20" s="23"/>
    </row>
    <row r="21" spans="1:9" ht="12.9" customHeight="1">
      <c r="A21" s="17" t="s">
        <v>251</v>
      </c>
      <c r="B21" s="18" t="s">
        <v>252</v>
      </c>
      <c r="C21" s="14" t="s">
        <v>253</v>
      </c>
      <c r="D21" s="14" t="s">
        <v>164</v>
      </c>
      <c r="E21" s="19">
        <v>2342</v>
      </c>
      <c r="F21" s="20">
        <v>146.83170000000001</v>
      </c>
      <c r="G21" s="21">
        <v>6.3E-3</v>
      </c>
      <c r="H21" s="22"/>
      <c r="I21" s="23"/>
    </row>
    <row r="22" spans="1:9" ht="12.9" customHeight="1">
      <c r="A22" s="17" t="s">
        <v>176</v>
      </c>
      <c r="B22" s="18" t="s">
        <v>177</v>
      </c>
      <c r="C22" s="14" t="s">
        <v>178</v>
      </c>
      <c r="D22" s="14" t="s">
        <v>179</v>
      </c>
      <c r="E22" s="19">
        <v>31479</v>
      </c>
      <c r="F22" s="20">
        <v>126.64</v>
      </c>
      <c r="G22" s="21">
        <v>5.4000000000000003E-3</v>
      </c>
      <c r="H22" s="22"/>
      <c r="I22" s="23"/>
    </row>
    <row r="23" spans="1:9" ht="12.9" customHeight="1">
      <c r="A23" s="17" t="s">
        <v>240</v>
      </c>
      <c r="B23" s="18" t="s">
        <v>241</v>
      </c>
      <c r="C23" s="14" t="s">
        <v>242</v>
      </c>
      <c r="D23" s="14" t="s">
        <v>220</v>
      </c>
      <c r="E23" s="19">
        <v>1709</v>
      </c>
      <c r="F23" s="20">
        <v>103.18940000000001</v>
      </c>
      <c r="G23" s="21">
        <v>4.4000000000000003E-3</v>
      </c>
      <c r="H23" s="22"/>
      <c r="I23" s="23"/>
    </row>
    <row r="24" spans="1:9" ht="12.9" customHeight="1">
      <c r="A24" s="17" t="s">
        <v>204</v>
      </c>
      <c r="B24" s="18" t="s">
        <v>205</v>
      </c>
      <c r="C24" s="14" t="s">
        <v>206</v>
      </c>
      <c r="D24" s="14" t="s">
        <v>207</v>
      </c>
      <c r="E24" s="19">
        <v>2500</v>
      </c>
      <c r="F24" s="20">
        <v>96.655000000000001</v>
      </c>
      <c r="G24" s="21">
        <v>4.1000000000000003E-3</v>
      </c>
      <c r="H24" s="22"/>
      <c r="I24" s="23"/>
    </row>
    <row r="25" spans="1:9" ht="12.9" customHeight="1">
      <c r="A25" s="17" t="s">
        <v>264</v>
      </c>
      <c r="B25" s="18" t="s">
        <v>265</v>
      </c>
      <c r="C25" s="14" t="s">
        <v>266</v>
      </c>
      <c r="D25" s="14" t="s">
        <v>260</v>
      </c>
      <c r="E25" s="19">
        <v>2942</v>
      </c>
      <c r="F25" s="20">
        <v>95.479699999999994</v>
      </c>
      <c r="G25" s="21">
        <v>4.1000000000000003E-3</v>
      </c>
      <c r="H25" s="22"/>
      <c r="I25" s="23"/>
    </row>
    <row r="26" spans="1:9" ht="12.9" customHeight="1">
      <c r="A26" s="17" t="s">
        <v>227</v>
      </c>
      <c r="B26" s="18" t="s">
        <v>228</v>
      </c>
      <c r="C26" s="14" t="s">
        <v>229</v>
      </c>
      <c r="D26" s="14" t="s">
        <v>200</v>
      </c>
      <c r="E26" s="19">
        <v>1478</v>
      </c>
      <c r="F26" s="20">
        <v>93.816100000000006</v>
      </c>
      <c r="G26" s="21">
        <v>4.0000000000000001E-3</v>
      </c>
      <c r="H26" s="22"/>
      <c r="I26" s="23"/>
    </row>
    <row r="27" spans="1:9" ht="12.9" customHeight="1">
      <c r="A27" s="17" t="s">
        <v>243</v>
      </c>
      <c r="B27" s="18" t="s">
        <v>244</v>
      </c>
      <c r="C27" s="14" t="s">
        <v>245</v>
      </c>
      <c r="D27" s="14" t="s">
        <v>157</v>
      </c>
      <c r="E27" s="19">
        <v>25376</v>
      </c>
      <c r="F27" s="20">
        <v>93.129900000000006</v>
      </c>
      <c r="G27" s="21">
        <v>4.0000000000000001E-3</v>
      </c>
      <c r="H27" s="22"/>
      <c r="I27" s="23"/>
    </row>
    <row r="28" spans="1:9" ht="12.9" customHeight="1">
      <c r="A28" s="17" t="s">
        <v>180</v>
      </c>
      <c r="B28" s="18" t="s">
        <v>181</v>
      </c>
      <c r="C28" s="14" t="s">
        <v>182</v>
      </c>
      <c r="D28" s="14" t="s">
        <v>164</v>
      </c>
      <c r="E28" s="19">
        <v>2367</v>
      </c>
      <c r="F28" s="20">
        <v>76.458799999999997</v>
      </c>
      <c r="G28" s="21">
        <v>3.3E-3</v>
      </c>
      <c r="H28" s="22"/>
      <c r="I28" s="23"/>
    </row>
    <row r="29" spans="1:9" ht="12.9" customHeight="1">
      <c r="A29" s="17" t="s">
        <v>234</v>
      </c>
      <c r="B29" s="18" t="s">
        <v>235</v>
      </c>
      <c r="C29" s="14" t="s">
        <v>236</v>
      </c>
      <c r="D29" s="14" t="s">
        <v>193</v>
      </c>
      <c r="E29" s="19">
        <v>4399</v>
      </c>
      <c r="F29" s="20">
        <v>76.265500000000003</v>
      </c>
      <c r="G29" s="21">
        <v>3.3E-3</v>
      </c>
      <c r="H29" s="22"/>
      <c r="I29" s="23"/>
    </row>
    <row r="30" spans="1:9" ht="12.9" customHeight="1">
      <c r="A30" s="17" t="s">
        <v>237</v>
      </c>
      <c r="B30" s="18" t="s">
        <v>238</v>
      </c>
      <c r="C30" s="14" t="s">
        <v>239</v>
      </c>
      <c r="D30" s="14" t="s">
        <v>230</v>
      </c>
      <c r="E30" s="19">
        <v>997</v>
      </c>
      <c r="F30" s="20">
        <v>70.6524</v>
      </c>
      <c r="G30" s="21">
        <v>3.0000000000000001E-3</v>
      </c>
      <c r="H30" s="22"/>
      <c r="I30" s="23"/>
    </row>
    <row r="31" spans="1:9" ht="12.9" customHeight="1">
      <c r="A31" s="17" t="s">
        <v>197</v>
      </c>
      <c r="B31" s="18" t="s">
        <v>198</v>
      </c>
      <c r="C31" s="14" t="s">
        <v>199</v>
      </c>
      <c r="D31" s="14" t="s">
        <v>200</v>
      </c>
      <c r="E31" s="19">
        <v>3774</v>
      </c>
      <c r="F31" s="20">
        <v>67.822599999999994</v>
      </c>
      <c r="G31" s="21">
        <v>2.8999999999999998E-3</v>
      </c>
      <c r="H31" s="22"/>
      <c r="I31" s="23"/>
    </row>
    <row r="32" spans="1:9" ht="12.9" customHeight="1">
      <c r="A32" s="17" t="s">
        <v>190</v>
      </c>
      <c r="B32" s="18" t="s">
        <v>191</v>
      </c>
      <c r="C32" s="14" t="s">
        <v>192</v>
      </c>
      <c r="D32" s="14" t="s">
        <v>193</v>
      </c>
      <c r="E32" s="19">
        <v>6626</v>
      </c>
      <c r="F32" s="20">
        <v>67.101500000000001</v>
      </c>
      <c r="G32" s="21">
        <v>2.8999999999999998E-3</v>
      </c>
      <c r="H32" s="22"/>
      <c r="I32" s="23"/>
    </row>
    <row r="33" spans="1:9" ht="12.9" customHeight="1">
      <c r="A33" s="17" t="s">
        <v>213</v>
      </c>
      <c r="B33" s="18" t="s">
        <v>214</v>
      </c>
      <c r="C33" s="14" t="s">
        <v>215</v>
      </c>
      <c r="D33" s="14" t="s">
        <v>164</v>
      </c>
      <c r="E33" s="19">
        <v>3391</v>
      </c>
      <c r="F33" s="20">
        <v>53.421799999999998</v>
      </c>
      <c r="G33" s="21">
        <v>2.3E-3</v>
      </c>
      <c r="H33" s="22"/>
      <c r="I33" s="23"/>
    </row>
    <row r="34" spans="1:9" ht="12.9" customHeight="1">
      <c r="A34" s="17" t="s">
        <v>270</v>
      </c>
      <c r="B34" s="18" t="s">
        <v>271</v>
      </c>
      <c r="C34" s="14" t="s">
        <v>272</v>
      </c>
      <c r="D34" s="14" t="s">
        <v>254</v>
      </c>
      <c r="E34" s="19">
        <v>9733</v>
      </c>
      <c r="F34" s="20">
        <v>47.39</v>
      </c>
      <c r="G34" s="21">
        <v>2E-3</v>
      </c>
      <c r="H34" s="22"/>
      <c r="I34" s="23"/>
    </row>
    <row r="35" spans="1:9" ht="12.9" customHeight="1">
      <c r="A35" s="17" t="s">
        <v>194</v>
      </c>
      <c r="B35" s="18" t="s">
        <v>195</v>
      </c>
      <c r="C35" s="14" t="s">
        <v>196</v>
      </c>
      <c r="D35" s="14" t="s">
        <v>179</v>
      </c>
      <c r="E35" s="19">
        <v>1784</v>
      </c>
      <c r="F35" s="20">
        <v>40.915999999999997</v>
      </c>
      <c r="G35" s="21">
        <v>1.6999999999999999E-3</v>
      </c>
      <c r="H35" s="22"/>
      <c r="I35" s="23"/>
    </row>
    <row r="36" spans="1:9" ht="12.9" customHeight="1">
      <c r="A36" s="17" t="s">
        <v>261</v>
      </c>
      <c r="B36" s="18" t="s">
        <v>262</v>
      </c>
      <c r="C36" s="14" t="s">
        <v>263</v>
      </c>
      <c r="D36" s="14" t="s">
        <v>193</v>
      </c>
      <c r="E36" s="19">
        <v>353</v>
      </c>
      <c r="F36" s="20">
        <v>16.9465</v>
      </c>
      <c r="G36" s="21">
        <v>6.9999999999999999E-4</v>
      </c>
      <c r="H36" s="22"/>
      <c r="I36" s="23"/>
    </row>
    <row r="37" spans="1:9" ht="12.9" customHeight="1">
      <c r="A37" s="17" t="s">
        <v>217</v>
      </c>
      <c r="B37" s="18" t="s">
        <v>218</v>
      </c>
      <c r="C37" s="14" t="s">
        <v>219</v>
      </c>
      <c r="D37" s="14" t="s">
        <v>220</v>
      </c>
      <c r="E37" s="19">
        <v>884</v>
      </c>
      <c r="F37" s="20">
        <v>10.9925</v>
      </c>
      <c r="G37" s="21">
        <v>5.0000000000000001E-4</v>
      </c>
      <c r="H37" s="22"/>
      <c r="I37" s="23"/>
    </row>
    <row r="38" spans="1:9" ht="12.9" customHeight="1">
      <c r="A38" s="17" t="s">
        <v>886</v>
      </c>
      <c r="B38" s="18" t="s">
        <v>887</v>
      </c>
      <c r="C38" s="14" t="s">
        <v>888</v>
      </c>
      <c r="D38" s="14" t="s">
        <v>258</v>
      </c>
      <c r="E38" s="19">
        <v>1378</v>
      </c>
      <c r="F38" s="20">
        <v>5.2081999999999997</v>
      </c>
      <c r="G38" s="21">
        <v>2.0000000000000001E-4</v>
      </c>
      <c r="H38" s="22"/>
      <c r="I38" s="23"/>
    </row>
    <row r="39" spans="1:9" ht="12.9" customHeight="1">
      <c r="A39" s="17" t="s">
        <v>282</v>
      </c>
      <c r="B39" s="18" t="s">
        <v>3064</v>
      </c>
      <c r="C39" s="14" t="s">
        <v>283</v>
      </c>
      <c r="D39" s="14" t="s">
        <v>220</v>
      </c>
      <c r="E39" s="19">
        <v>1784</v>
      </c>
      <c r="F39" s="20">
        <v>0.71719999999999995</v>
      </c>
      <c r="G39" s="30" t="s">
        <v>95</v>
      </c>
      <c r="H39" s="22"/>
      <c r="I39" s="23"/>
    </row>
    <row r="40" spans="1:9" ht="12.9" customHeight="1">
      <c r="A40" s="5"/>
      <c r="B40" s="13" t="s">
        <v>88</v>
      </c>
      <c r="C40" s="14"/>
      <c r="D40" s="14"/>
      <c r="E40" s="14"/>
      <c r="F40" s="24">
        <v>5203.4072999999999</v>
      </c>
      <c r="G40" s="25">
        <v>0.22239999999999999</v>
      </c>
      <c r="H40" s="26"/>
      <c r="I40" s="27"/>
    </row>
    <row r="41" spans="1:9" ht="12.9" customHeight="1">
      <c r="A41" s="5"/>
      <c r="B41" s="28" t="s">
        <v>284</v>
      </c>
      <c r="C41" s="2"/>
      <c r="D41" s="2"/>
      <c r="E41" s="2"/>
      <c r="F41" s="26" t="s">
        <v>90</v>
      </c>
      <c r="G41" s="26" t="s">
        <v>90</v>
      </c>
      <c r="H41" s="26"/>
      <c r="I41" s="27"/>
    </row>
    <row r="42" spans="1:9" ht="12.9" customHeight="1">
      <c r="A42" s="5"/>
      <c r="B42" s="28" t="s">
        <v>88</v>
      </c>
      <c r="C42" s="2"/>
      <c r="D42" s="2"/>
      <c r="E42" s="2"/>
      <c r="F42" s="26" t="s">
        <v>90</v>
      </c>
      <c r="G42" s="26" t="s">
        <v>90</v>
      </c>
      <c r="H42" s="26"/>
      <c r="I42" s="27"/>
    </row>
    <row r="43" spans="1:9" ht="12.9" customHeight="1">
      <c r="A43" s="5"/>
      <c r="B43" s="28" t="s">
        <v>91</v>
      </c>
      <c r="C43" s="29"/>
      <c r="D43" s="2"/>
      <c r="E43" s="29"/>
      <c r="F43" s="24">
        <v>5203.4072999999999</v>
      </c>
      <c r="G43" s="25">
        <v>0.22239999999999999</v>
      </c>
      <c r="H43" s="26"/>
      <c r="I43" s="27"/>
    </row>
    <row r="44" spans="1:9" ht="12.9" customHeight="1">
      <c r="A44" s="5"/>
      <c r="B44" s="13" t="s">
        <v>316</v>
      </c>
      <c r="C44" s="14"/>
      <c r="D44" s="14"/>
      <c r="E44" s="14"/>
      <c r="F44" s="14"/>
      <c r="G44" s="14"/>
      <c r="H44" s="15"/>
      <c r="I44" s="16"/>
    </row>
    <row r="45" spans="1:9" ht="12.9" customHeight="1">
      <c r="A45" s="5"/>
      <c r="B45" s="13" t="s">
        <v>317</v>
      </c>
      <c r="C45" s="14"/>
      <c r="D45" s="14"/>
      <c r="E45" s="14"/>
      <c r="F45" s="5"/>
      <c r="G45" s="15"/>
      <c r="H45" s="15"/>
      <c r="I45" s="16"/>
    </row>
    <row r="46" spans="1:9" ht="12.9" customHeight="1">
      <c r="A46" s="17" t="s">
        <v>1742</v>
      </c>
      <c r="B46" s="18" t="s">
        <v>1743</v>
      </c>
      <c r="C46" s="14"/>
      <c r="D46" s="14"/>
      <c r="E46" s="19"/>
      <c r="F46" s="20">
        <v>-2.181</v>
      </c>
      <c r="G46" s="21">
        <v>-1E-4</v>
      </c>
      <c r="H46" s="22"/>
      <c r="I46" s="23"/>
    </row>
    <row r="47" spans="1:9" ht="12.9" customHeight="1">
      <c r="A47" s="5"/>
      <c r="B47" s="13" t="s">
        <v>88</v>
      </c>
      <c r="C47" s="14"/>
      <c r="D47" s="14"/>
      <c r="E47" s="14"/>
      <c r="F47" s="24">
        <v>-2.181</v>
      </c>
      <c r="G47" s="25">
        <v>-1E-4</v>
      </c>
      <c r="H47" s="26"/>
      <c r="I47" s="27"/>
    </row>
    <row r="48" spans="1:9" ht="12.9" customHeight="1">
      <c r="A48" s="5"/>
      <c r="B48" s="28" t="s">
        <v>91</v>
      </c>
      <c r="C48" s="29"/>
      <c r="D48" s="2"/>
      <c r="E48" s="29"/>
      <c r="F48" s="24">
        <v>-2.181</v>
      </c>
      <c r="G48" s="25">
        <v>-1E-4</v>
      </c>
      <c r="H48" s="26"/>
      <c r="I48" s="27"/>
    </row>
    <row r="49" spans="1:9" ht="12.9" customHeight="1">
      <c r="A49" s="5"/>
      <c r="B49" s="13" t="s">
        <v>79</v>
      </c>
      <c r="C49" s="14"/>
      <c r="D49" s="14"/>
      <c r="E49" s="14"/>
      <c r="F49" s="14"/>
      <c r="G49" s="14"/>
      <c r="H49" s="15"/>
      <c r="I49" s="16"/>
    </row>
    <row r="50" spans="1:9" ht="12.9" customHeight="1">
      <c r="A50" s="5"/>
      <c r="B50" s="13" t="s">
        <v>80</v>
      </c>
      <c r="C50" s="14"/>
      <c r="D50" s="14"/>
      <c r="E50" s="14"/>
      <c r="F50" s="5"/>
      <c r="G50" s="15"/>
      <c r="H50" s="15"/>
      <c r="I50" s="16"/>
    </row>
    <row r="51" spans="1:9" ht="12.9" customHeight="1">
      <c r="A51" s="17" t="s">
        <v>332</v>
      </c>
      <c r="B51" s="18" t="s">
        <v>333</v>
      </c>
      <c r="C51" s="14" t="s">
        <v>334</v>
      </c>
      <c r="D51" s="14" t="s">
        <v>84</v>
      </c>
      <c r="E51" s="19">
        <v>3500000</v>
      </c>
      <c r="F51" s="20">
        <v>3611.3069999999998</v>
      </c>
      <c r="G51" s="21">
        <v>0.15429999999999999</v>
      </c>
      <c r="H51" s="22">
        <v>6.7517999999999995E-2</v>
      </c>
      <c r="I51" s="23"/>
    </row>
    <row r="52" spans="1:9" ht="12.9" customHeight="1">
      <c r="A52" s="17" t="s">
        <v>329</v>
      </c>
      <c r="B52" s="18" t="s">
        <v>330</v>
      </c>
      <c r="C52" s="14" t="s">
        <v>331</v>
      </c>
      <c r="D52" s="14" t="s">
        <v>84</v>
      </c>
      <c r="E52" s="19">
        <v>2600000</v>
      </c>
      <c r="F52" s="20">
        <v>2622.6538</v>
      </c>
      <c r="G52" s="21">
        <v>0.11210000000000001</v>
      </c>
      <c r="H52" s="22">
        <v>6.7664000000000002E-2</v>
      </c>
      <c r="I52" s="23"/>
    </row>
    <row r="53" spans="1:9" ht="12.9" customHeight="1">
      <c r="A53" s="17" t="s">
        <v>1007</v>
      </c>
      <c r="B53" s="18" t="s">
        <v>1008</v>
      </c>
      <c r="C53" s="14" t="s">
        <v>1009</v>
      </c>
      <c r="D53" s="14" t="s">
        <v>84</v>
      </c>
      <c r="E53" s="19">
        <v>2500000</v>
      </c>
      <c r="F53" s="20">
        <v>2423.4949999999999</v>
      </c>
      <c r="G53" s="21">
        <v>0.1036</v>
      </c>
      <c r="H53" s="22">
        <v>7.1414000000000005E-2</v>
      </c>
      <c r="I53" s="23"/>
    </row>
    <row r="54" spans="1:9" ht="12.9" customHeight="1">
      <c r="A54" s="17" t="s">
        <v>484</v>
      </c>
      <c r="B54" s="18" t="s">
        <v>485</v>
      </c>
      <c r="C54" s="14" t="s">
        <v>486</v>
      </c>
      <c r="D54" s="14" t="s">
        <v>109</v>
      </c>
      <c r="E54" s="19">
        <v>1500</v>
      </c>
      <c r="F54" s="20">
        <v>1533.087</v>
      </c>
      <c r="G54" s="21">
        <v>6.5500000000000003E-2</v>
      </c>
      <c r="H54" s="22">
        <v>7.2283E-2</v>
      </c>
      <c r="I54" s="23"/>
    </row>
    <row r="55" spans="1:9" ht="12.9" customHeight="1">
      <c r="A55" s="17" t="s">
        <v>1744</v>
      </c>
      <c r="B55" s="18" t="s">
        <v>1745</v>
      </c>
      <c r="C55" s="14" t="s">
        <v>1746</v>
      </c>
      <c r="D55" s="14" t="s">
        <v>994</v>
      </c>
      <c r="E55" s="19">
        <v>1000</v>
      </c>
      <c r="F55" s="20">
        <v>1001.0549999999999</v>
      </c>
      <c r="G55" s="21">
        <v>4.2799999999999998E-2</v>
      </c>
      <c r="H55" s="22">
        <v>6.6448999999999994E-2</v>
      </c>
      <c r="I55" s="23"/>
    </row>
    <row r="56" spans="1:9" ht="12.9" customHeight="1">
      <c r="A56" s="17" t="s">
        <v>1158</v>
      </c>
      <c r="B56" s="18" t="s">
        <v>1159</v>
      </c>
      <c r="C56" s="14" t="s">
        <v>1160</v>
      </c>
      <c r="D56" s="14" t="s">
        <v>84</v>
      </c>
      <c r="E56" s="19">
        <v>900000</v>
      </c>
      <c r="F56" s="20">
        <v>919.84770000000003</v>
      </c>
      <c r="G56" s="21">
        <v>3.9300000000000002E-2</v>
      </c>
      <c r="H56" s="22">
        <v>7.0184999999999997E-2</v>
      </c>
      <c r="I56" s="23"/>
    </row>
    <row r="57" spans="1:9" ht="12.9" customHeight="1">
      <c r="A57" s="17" t="s">
        <v>889</v>
      </c>
      <c r="B57" s="18" t="s">
        <v>890</v>
      </c>
      <c r="C57" s="14" t="s">
        <v>891</v>
      </c>
      <c r="D57" s="14" t="s">
        <v>84</v>
      </c>
      <c r="E57" s="19">
        <v>500000</v>
      </c>
      <c r="F57" s="20">
        <v>514</v>
      </c>
      <c r="G57" s="21">
        <v>2.1999999999999999E-2</v>
      </c>
      <c r="H57" s="22">
        <v>6.7644999999999997E-2</v>
      </c>
      <c r="I57" s="23"/>
    </row>
    <row r="58" spans="1:9" ht="12.9" customHeight="1">
      <c r="A58" s="17" t="s">
        <v>896</v>
      </c>
      <c r="B58" s="18" t="s">
        <v>897</v>
      </c>
      <c r="C58" s="14" t="s">
        <v>898</v>
      </c>
      <c r="D58" s="14" t="s">
        <v>899</v>
      </c>
      <c r="E58" s="19">
        <v>500</v>
      </c>
      <c r="F58" s="20">
        <v>507.39350000000002</v>
      </c>
      <c r="G58" s="21">
        <v>2.1700000000000001E-2</v>
      </c>
      <c r="H58" s="22">
        <v>0.10564999999999999</v>
      </c>
      <c r="I58" s="23"/>
    </row>
    <row r="59" spans="1:9" ht="12.9" customHeight="1">
      <c r="A59" s="17" t="s">
        <v>1497</v>
      </c>
      <c r="B59" s="18" t="s">
        <v>1498</v>
      </c>
      <c r="C59" s="14" t="s">
        <v>1499</v>
      </c>
      <c r="D59" s="14" t="s">
        <v>1500</v>
      </c>
      <c r="E59" s="19">
        <v>500</v>
      </c>
      <c r="F59" s="20">
        <v>506.274</v>
      </c>
      <c r="G59" s="21">
        <v>2.1600000000000001E-2</v>
      </c>
      <c r="H59" s="22">
        <v>9.9597000000000005E-2</v>
      </c>
      <c r="I59" s="23"/>
    </row>
    <row r="60" spans="1:9" ht="12.9" customHeight="1">
      <c r="A60" s="17" t="s">
        <v>1441</v>
      </c>
      <c r="B60" s="18" t="s">
        <v>1442</v>
      </c>
      <c r="C60" s="14" t="s">
        <v>1443</v>
      </c>
      <c r="D60" s="14" t="s">
        <v>1444</v>
      </c>
      <c r="E60" s="19">
        <v>500</v>
      </c>
      <c r="F60" s="20">
        <v>501.73349999999999</v>
      </c>
      <c r="G60" s="21">
        <v>2.1399999999999999E-2</v>
      </c>
      <c r="H60" s="22">
        <v>7.3349999999999999E-2</v>
      </c>
      <c r="I60" s="23"/>
    </row>
    <row r="61" spans="1:9" ht="12.9" customHeight="1">
      <c r="A61" s="17" t="s">
        <v>1508</v>
      </c>
      <c r="B61" s="18" t="s">
        <v>1509</v>
      </c>
      <c r="C61" s="14" t="s">
        <v>1510</v>
      </c>
      <c r="D61" s="14" t="s">
        <v>1504</v>
      </c>
      <c r="E61" s="19">
        <v>500</v>
      </c>
      <c r="F61" s="20">
        <v>500.88400000000001</v>
      </c>
      <c r="G61" s="21">
        <v>2.1399999999999999E-2</v>
      </c>
      <c r="H61" s="22">
        <v>8.9137999999999995E-2</v>
      </c>
      <c r="I61" s="23"/>
    </row>
    <row r="62" spans="1:9" ht="12.9" customHeight="1">
      <c r="A62" s="17" t="s">
        <v>1747</v>
      </c>
      <c r="B62" s="18" t="s">
        <v>1748</v>
      </c>
      <c r="C62" s="14" t="s">
        <v>1749</v>
      </c>
      <c r="D62" s="14" t="s">
        <v>895</v>
      </c>
      <c r="E62" s="19">
        <v>500</v>
      </c>
      <c r="F62" s="20">
        <v>500.43900000000002</v>
      </c>
      <c r="G62" s="21">
        <v>2.1399999999999999E-2</v>
      </c>
      <c r="H62" s="22">
        <v>7.2251999999999997E-2</v>
      </c>
      <c r="I62" s="23"/>
    </row>
    <row r="63" spans="1:9" ht="12.9" customHeight="1">
      <c r="A63" s="17" t="s">
        <v>1750</v>
      </c>
      <c r="B63" s="18" t="s">
        <v>1751</v>
      </c>
      <c r="C63" s="14" t="s">
        <v>1752</v>
      </c>
      <c r="D63" s="14" t="s">
        <v>895</v>
      </c>
      <c r="E63" s="19">
        <v>50</v>
      </c>
      <c r="F63" s="20">
        <v>500.19549999999998</v>
      </c>
      <c r="G63" s="21">
        <v>2.1399999999999999E-2</v>
      </c>
      <c r="H63" s="22">
        <v>6.8621500000000002E-2</v>
      </c>
      <c r="I63" s="23"/>
    </row>
    <row r="64" spans="1:9" ht="12.9" customHeight="1">
      <c r="A64" s="17" t="s">
        <v>1753</v>
      </c>
      <c r="B64" s="18" t="s">
        <v>1754</v>
      </c>
      <c r="C64" s="14" t="s">
        <v>1755</v>
      </c>
      <c r="D64" s="14" t="s">
        <v>109</v>
      </c>
      <c r="E64" s="19">
        <v>50</v>
      </c>
      <c r="F64" s="20">
        <v>498.9615</v>
      </c>
      <c r="G64" s="21">
        <v>2.1299999999999999E-2</v>
      </c>
      <c r="H64" s="22">
        <v>7.195E-2</v>
      </c>
      <c r="I64" s="23"/>
    </row>
    <row r="65" spans="1:9" ht="12.9" customHeight="1">
      <c r="A65" s="17" t="s">
        <v>1511</v>
      </c>
      <c r="B65" s="18" t="s">
        <v>1512</v>
      </c>
      <c r="C65" s="14" t="s">
        <v>1513</v>
      </c>
      <c r="D65" s="14" t="s">
        <v>1493</v>
      </c>
      <c r="E65" s="19">
        <v>500</v>
      </c>
      <c r="F65" s="20">
        <v>497.35250000000002</v>
      </c>
      <c r="G65" s="21">
        <v>2.1299999999999999E-2</v>
      </c>
      <c r="H65" s="22">
        <v>0.10335</v>
      </c>
      <c r="I65" s="23"/>
    </row>
    <row r="66" spans="1:9" ht="12.9" customHeight="1">
      <c r="A66" s="17" t="s">
        <v>1501</v>
      </c>
      <c r="B66" s="18" t="s">
        <v>1502</v>
      </c>
      <c r="C66" s="14" t="s">
        <v>1503</v>
      </c>
      <c r="D66" s="14" t="s">
        <v>1504</v>
      </c>
      <c r="E66" s="19">
        <v>500</v>
      </c>
      <c r="F66" s="20">
        <v>405.6155</v>
      </c>
      <c r="G66" s="21">
        <v>1.7299999999999999E-2</v>
      </c>
      <c r="H66" s="22">
        <v>9.5002000000000003E-2</v>
      </c>
      <c r="I66" s="23"/>
    </row>
    <row r="67" spans="1:9" ht="12.9" customHeight="1">
      <c r="A67" s="17" t="s">
        <v>1712</v>
      </c>
      <c r="B67" s="18" t="s">
        <v>1713</v>
      </c>
      <c r="C67" s="14" t="s">
        <v>1714</v>
      </c>
      <c r="D67" s="14" t="s">
        <v>84</v>
      </c>
      <c r="E67" s="19">
        <v>300000</v>
      </c>
      <c r="F67" s="20">
        <v>306.29579999999999</v>
      </c>
      <c r="G67" s="21">
        <v>1.3100000000000001E-2</v>
      </c>
      <c r="H67" s="22">
        <v>7.1057999999999996E-2</v>
      </c>
      <c r="I67" s="23"/>
    </row>
    <row r="68" spans="1:9" ht="12.9" customHeight="1">
      <c r="A68" s="17" t="s">
        <v>916</v>
      </c>
      <c r="B68" s="18" t="s">
        <v>917</v>
      </c>
      <c r="C68" s="14" t="s">
        <v>918</v>
      </c>
      <c r="D68" s="14" t="s">
        <v>84</v>
      </c>
      <c r="E68" s="19">
        <v>20000</v>
      </c>
      <c r="F68" s="20">
        <v>19.3782</v>
      </c>
      <c r="G68" s="21">
        <v>8.0000000000000004E-4</v>
      </c>
      <c r="H68" s="22">
        <v>6.7737000000000006E-2</v>
      </c>
      <c r="I68" s="23"/>
    </row>
    <row r="69" spans="1:9" ht="12.9" customHeight="1">
      <c r="A69" s="5"/>
      <c r="B69" s="13" t="s">
        <v>88</v>
      </c>
      <c r="C69" s="14"/>
      <c r="D69" s="14"/>
      <c r="E69" s="14"/>
      <c r="F69" s="24">
        <v>17369.968499999999</v>
      </c>
      <c r="G69" s="25">
        <v>0.74229999999999996</v>
      </c>
      <c r="H69" s="26"/>
      <c r="I69" s="27"/>
    </row>
    <row r="70" spans="1:9" ht="12.9" customHeight="1">
      <c r="A70" s="5"/>
      <c r="B70" s="28" t="s">
        <v>89</v>
      </c>
      <c r="C70" s="2"/>
      <c r="D70" s="2"/>
      <c r="E70" s="2"/>
      <c r="F70" s="26" t="s">
        <v>90</v>
      </c>
      <c r="G70" s="26" t="s">
        <v>90</v>
      </c>
      <c r="H70" s="26"/>
      <c r="I70" s="27"/>
    </row>
    <row r="71" spans="1:9" ht="12.9" customHeight="1">
      <c r="A71" s="5"/>
      <c r="B71" s="28" t="s">
        <v>88</v>
      </c>
      <c r="C71" s="2"/>
      <c r="D71" s="2"/>
      <c r="E71" s="2"/>
      <c r="F71" s="26" t="s">
        <v>90</v>
      </c>
      <c r="G71" s="26" t="s">
        <v>90</v>
      </c>
      <c r="H71" s="26"/>
      <c r="I71" s="27"/>
    </row>
    <row r="72" spans="1:9" ht="12.9" customHeight="1">
      <c r="A72" s="5"/>
      <c r="B72" s="28" t="s">
        <v>91</v>
      </c>
      <c r="C72" s="29"/>
      <c r="D72" s="2"/>
      <c r="E72" s="29"/>
      <c r="F72" s="24">
        <v>17369.968499999999</v>
      </c>
      <c r="G72" s="25">
        <v>0.74229999999999996</v>
      </c>
      <c r="H72" s="26"/>
      <c r="I72" s="27"/>
    </row>
    <row r="73" spans="1:9" ht="12.9" customHeight="1">
      <c r="A73" s="5"/>
      <c r="B73" s="13" t="s">
        <v>285</v>
      </c>
      <c r="C73" s="14"/>
      <c r="D73" s="14"/>
      <c r="E73" s="14"/>
      <c r="F73" s="14"/>
      <c r="G73" s="14"/>
      <c r="H73" s="15"/>
      <c r="I73" s="16"/>
    </row>
    <row r="74" spans="1:9" ht="12.9" customHeight="1">
      <c r="A74" s="5"/>
      <c r="B74" s="13" t="s">
        <v>789</v>
      </c>
      <c r="C74" s="14"/>
      <c r="D74" s="14"/>
      <c r="E74" s="14"/>
      <c r="F74" s="5"/>
      <c r="G74" s="15"/>
      <c r="H74" s="15"/>
      <c r="I74" s="16"/>
    </row>
    <row r="75" spans="1:9" ht="12.9" customHeight="1">
      <c r="A75" s="17" t="s">
        <v>790</v>
      </c>
      <c r="B75" s="18" t="s">
        <v>791</v>
      </c>
      <c r="C75" s="14" t="s">
        <v>792</v>
      </c>
      <c r="D75" s="14"/>
      <c r="E75" s="19">
        <v>1092.645</v>
      </c>
      <c r="F75" s="20">
        <v>125.86190000000001</v>
      </c>
      <c r="G75" s="21">
        <v>5.4000000000000003E-3</v>
      </c>
      <c r="H75" s="22"/>
      <c r="I75" s="23"/>
    </row>
    <row r="76" spans="1:9" ht="12.9" customHeight="1">
      <c r="A76" s="5"/>
      <c r="B76" s="13" t="s">
        <v>88</v>
      </c>
      <c r="C76" s="14"/>
      <c r="D76" s="14"/>
      <c r="E76" s="14"/>
      <c r="F76" s="24">
        <v>125.86190000000001</v>
      </c>
      <c r="G76" s="25">
        <v>5.4000000000000003E-3</v>
      </c>
      <c r="H76" s="26"/>
      <c r="I76" s="27"/>
    </row>
    <row r="77" spans="1:9" ht="12.9" customHeight="1">
      <c r="A77" s="5"/>
      <c r="B77" s="28" t="s">
        <v>91</v>
      </c>
      <c r="C77" s="29"/>
      <c r="D77" s="2"/>
      <c r="E77" s="29"/>
      <c r="F77" s="24">
        <v>125.86190000000001</v>
      </c>
      <c r="G77" s="25">
        <v>5.4000000000000003E-3</v>
      </c>
      <c r="H77" s="26"/>
      <c r="I77" s="27"/>
    </row>
    <row r="78" spans="1:9" ht="12.9" customHeight="1">
      <c r="A78" s="5"/>
      <c r="B78" s="13" t="s">
        <v>92</v>
      </c>
      <c r="C78" s="14"/>
      <c r="D78" s="14"/>
      <c r="E78" s="14"/>
      <c r="F78" s="14"/>
      <c r="G78" s="14"/>
      <c r="H78" s="15"/>
      <c r="I78" s="16"/>
    </row>
    <row r="79" spans="1:9" ht="12.9" customHeight="1">
      <c r="A79" s="17" t="s">
        <v>93</v>
      </c>
      <c r="B79" s="18" t="s">
        <v>94</v>
      </c>
      <c r="C79" s="14"/>
      <c r="D79" s="14"/>
      <c r="E79" s="19"/>
      <c r="F79" s="20">
        <v>118.1</v>
      </c>
      <c r="G79" s="21">
        <v>5.0000000000000001E-3</v>
      </c>
      <c r="H79" s="22">
        <v>5.0765239100997894E-2</v>
      </c>
      <c r="I79" s="23"/>
    </row>
    <row r="80" spans="1:9" ht="12.9" customHeight="1">
      <c r="A80" s="5"/>
      <c r="B80" s="13" t="s">
        <v>88</v>
      </c>
      <c r="C80" s="14"/>
      <c r="D80" s="14"/>
      <c r="E80" s="14"/>
      <c r="F80" s="24">
        <v>118.1</v>
      </c>
      <c r="G80" s="25">
        <v>5.0000000000000001E-3</v>
      </c>
      <c r="H80" s="26"/>
      <c r="I80" s="27"/>
    </row>
    <row r="81" spans="1:9" ht="12.9" customHeight="1">
      <c r="A81" s="5"/>
      <c r="B81" s="28" t="s">
        <v>91</v>
      </c>
      <c r="C81" s="29"/>
      <c r="D81" s="2"/>
      <c r="E81" s="29"/>
      <c r="F81" s="24">
        <v>118.1</v>
      </c>
      <c r="G81" s="25">
        <v>5.0000000000000001E-3</v>
      </c>
      <c r="H81" s="26"/>
      <c r="I81" s="27"/>
    </row>
    <row r="82" spans="1:9" ht="12.9" customHeight="1">
      <c r="A82" s="5"/>
      <c r="B82" s="28" t="s">
        <v>96</v>
      </c>
      <c r="C82" s="14"/>
      <c r="D82" s="2"/>
      <c r="E82" s="14"/>
      <c r="F82" s="31">
        <v>584.17330000000004</v>
      </c>
      <c r="G82" s="25">
        <v>2.5000000000000001E-2</v>
      </c>
      <c r="H82" s="26"/>
      <c r="I82" s="27"/>
    </row>
    <row r="83" spans="1:9" ht="12.9" customHeight="1">
      <c r="A83" s="5"/>
      <c r="B83" s="32" t="s">
        <v>97</v>
      </c>
      <c r="C83" s="33"/>
      <c r="D83" s="33"/>
      <c r="E83" s="33"/>
      <c r="F83" s="34">
        <v>23399.33</v>
      </c>
      <c r="G83" s="35">
        <v>1</v>
      </c>
      <c r="H83" s="36"/>
      <c r="I83" s="37"/>
    </row>
    <row r="84" spans="1:9" ht="12.9" customHeight="1">
      <c r="A84" s="5"/>
      <c r="B84" s="7"/>
      <c r="C84" s="5"/>
      <c r="D84" s="5"/>
      <c r="E84" s="5"/>
      <c r="F84" s="5"/>
      <c r="G84" s="5"/>
      <c r="H84" s="5"/>
      <c r="I84" s="5"/>
    </row>
    <row r="85" spans="1:9" ht="12.9" customHeight="1">
      <c r="A85" s="5"/>
      <c r="B85" s="4" t="s">
        <v>925</v>
      </c>
      <c r="C85" s="5"/>
      <c r="D85" s="5"/>
      <c r="E85" s="5"/>
      <c r="F85" s="5"/>
      <c r="G85" s="5"/>
      <c r="H85" s="5"/>
      <c r="I85" s="5"/>
    </row>
    <row r="86" spans="1:9" ht="12.9" customHeight="1">
      <c r="A86" s="5"/>
      <c r="B86" s="4" t="s">
        <v>146</v>
      </c>
      <c r="C86" s="5"/>
      <c r="D86" s="5"/>
      <c r="E86" s="5"/>
      <c r="F86" s="5"/>
      <c r="G86" s="5"/>
      <c r="H86" s="5"/>
      <c r="I86" s="5"/>
    </row>
    <row r="87" spans="1:9" ht="12.9" customHeight="1">
      <c r="A87" s="5"/>
      <c r="B87" s="4" t="s">
        <v>926</v>
      </c>
      <c r="C87" s="5"/>
      <c r="D87" s="5"/>
      <c r="E87" s="5"/>
      <c r="F87" s="5"/>
      <c r="G87" s="5"/>
      <c r="H87" s="5"/>
      <c r="I87" s="5"/>
    </row>
    <row r="88" spans="1:9" ht="12.9" customHeight="1">
      <c r="A88" s="5"/>
      <c r="B88" s="4" t="s">
        <v>98</v>
      </c>
      <c r="C88" s="5"/>
      <c r="D88" s="5"/>
      <c r="E88" s="5"/>
      <c r="F88" s="5"/>
      <c r="G88" s="5"/>
      <c r="H88" s="5"/>
      <c r="I88" s="5"/>
    </row>
    <row r="89" spans="1:9" ht="12.9" customHeight="1">
      <c r="A89" s="5"/>
      <c r="B89" s="4" t="s">
        <v>99</v>
      </c>
      <c r="C89" s="5"/>
      <c r="D89" s="5"/>
      <c r="E89" s="5"/>
      <c r="F89" s="5"/>
      <c r="G89" s="5"/>
      <c r="H89" s="5"/>
      <c r="I89" s="5"/>
    </row>
    <row r="90" spans="1:9" ht="26.1" customHeight="1">
      <c r="A90" s="5"/>
      <c r="B90" s="50" t="s">
        <v>100</v>
      </c>
      <c r="C90" s="50"/>
      <c r="D90" s="50"/>
      <c r="E90" s="50"/>
      <c r="F90" s="50"/>
      <c r="G90" s="50"/>
      <c r="H90" s="50"/>
      <c r="I90" s="50"/>
    </row>
    <row r="91" spans="1:9" ht="12.9" customHeight="1">
      <c r="A91" s="5"/>
      <c r="B91" s="50" t="s">
        <v>101</v>
      </c>
      <c r="C91" s="50"/>
      <c r="D91" s="50"/>
      <c r="E91" s="50"/>
      <c r="F91" s="50"/>
      <c r="G91" s="50"/>
      <c r="H91" s="50"/>
      <c r="I91" s="50"/>
    </row>
    <row r="92" spans="1:9" ht="12.9" customHeight="1">
      <c r="A92" s="5"/>
      <c r="B92" s="50"/>
      <c r="C92" s="50"/>
      <c r="D92" s="50"/>
      <c r="E92" s="50"/>
      <c r="F92" s="50"/>
      <c r="G92" s="50"/>
      <c r="H92" s="50"/>
      <c r="I92" s="50"/>
    </row>
    <row r="93" spans="1:9" ht="12.9" customHeight="1">
      <c r="A93" s="5"/>
      <c r="B93" s="50"/>
      <c r="C93" s="50"/>
      <c r="D93" s="50"/>
      <c r="E93" s="50"/>
      <c r="F93" s="50"/>
      <c r="G93" s="50"/>
      <c r="H93" s="50"/>
      <c r="I93" s="50"/>
    </row>
    <row r="94" spans="1:9" ht="12.9" customHeight="1">
      <c r="A94" s="5"/>
      <c r="B94" s="5"/>
      <c r="C94" s="51" t="s">
        <v>1756</v>
      </c>
      <c r="D94" s="51"/>
      <c r="E94" s="51"/>
      <c r="F94" s="51"/>
      <c r="G94" s="5"/>
      <c r="H94" s="5"/>
      <c r="I94" s="5"/>
    </row>
    <row r="95" spans="1:9" ht="12.9" customHeight="1">
      <c r="A95" s="5"/>
      <c r="B95" s="38" t="s">
        <v>103</v>
      </c>
      <c r="C95" s="51" t="s">
        <v>104</v>
      </c>
      <c r="D95" s="51"/>
      <c r="E95" s="51"/>
      <c r="F95" s="51"/>
      <c r="G95" s="5"/>
      <c r="H95" s="5"/>
      <c r="I95" s="5"/>
    </row>
    <row r="96" spans="1:9" ht="135" customHeight="1">
      <c r="A96" s="5"/>
      <c r="B96" s="39"/>
      <c r="C96" s="52"/>
      <c r="D96" s="52"/>
      <c r="E96" s="5"/>
      <c r="F96" s="5"/>
      <c r="G96" s="5"/>
      <c r="H96" s="5"/>
      <c r="I96" s="5"/>
    </row>
  </sheetData>
  <mergeCells count="7">
    <mergeCell ref="B93:I93"/>
    <mergeCell ref="C94:F94"/>
    <mergeCell ref="C95:F95"/>
    <mergeCell ref="C96:D96"/>
    <mergeCell ref="B90:I90"/>
    <mergeCell ref="B91:I91"/>
    <mergeCell ref="B92:I92"/>
  </mergeCells>
  <hyperlinks>
    <hyperlink ref="A1" location="AxisConservativeHybridFund" display="AXISISF" xr:uid="{00000000-0004-0000-2A00-000000000000}"/>
    <hyperlink ref="B1" location="AxisConservativeHybridFund" display="Axis Conservative Hybrid Fund" xr:uid="{00000000-0004-0000-2A00-000001000000}"/>
  </hyperlinks>
  <pageMargins left="0" right="0" top="0" bottom="0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/>
  </sheetPr>
  <dimension ref="A1:I36"/>
  <sheetViews>
    <sheetView workbookViewId="0">
      <selection activeCell="B32" sqref="B32:I32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41</v>
      </c>
      <c r="B1" s="4" t="s">
        <v>42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1438</v>
      </c>
      <c r="B7" s="18" t="s">
        <v>1439</v>
      </c>
      <c r="C7" s="14" t="s">
        <v>1440</v>
      </c>
      <c r="D7" s="14" t="s">
        <v>84</v>
      </c>
      <c r="E7" s="19">
        <v>9725300</v>
      </c>
      <c r="F7" s="20">
        <v>9636.8289000000004</v>
      </c>
      <c r="G7" s="21">
        <v>0.33279999999999998</v>
      </c>
      <c r="H7" s="22">
        <v>7.5480000000000005E-2</v>
      </c>
      <c r="I7" s="23"/>
    </row>
    <row r="8" spans="1:9" ht="12.9" customHeight="1">
      <c r="A8" s="17" t="s">
        <v>1176</v>
      </c>
      <c r="B8" s="18" t="s">
        <v>1177</v>
      </c>
      <c r="C8" s="14" t="s">
        <v>1178</v>
      </c>
      <c r="D8" s="14" t="s">
        <v>84</v>
      </c>
      <c r="E8" s="19">
        <v>6500000</v>
      </c>
      <c r="F8" s="20">
        <v>6366.7955000000002</v>
      </c>
      <c r="G8" s="21">
        <v>0.21990000000000001</v>
      </c>
      <c r="H8" s="22">
        <v>7.5497999999999996E-2</v>
      </c>
      <c r="I8" s="23"/>
    </row>
    <row r="9" spans="1:9" ht="12.9" customHeight="1">
      <c r="A9" s="17" t="s">
        <v>1757</v>
      </c>
      <c r="B9" s="18" t="s">
        <v>1758</v>
      </c>
      <c r="C9" s="14" t="s">
        <v>1759</v>
      </c>
      <c r="D9" s="14" t="s">
        <v>84</v>
      </c>
      <c r="E9" s="19">
        <v>4800000</v>
      </c>
      <c r="F9" s="20">
        <v>4816.8288000000002</v>
      </c>
      <c r="G9" s="21">
        <v>0.1663</v>
      </c>
      <c r="H9" s="22">
        <v>7.4628E-2</v>
      </c>
      <c r="I9" s="23"/>
    </row>
    <row r="10" spans="1:9" ht="12.9" customHeight="1">
      <c r="A10" s="17" t="s">
        <v>1304</v>
      </c>
      <c r="B10" s="18" t="s">
        <v>1305</v>
      </c>
      <c r="C10" s="14" t="s">
        <v>1306</v>
      </c>
      <c r="D10" s="14" t="s">
        <v>84</v>
      </c>
      <c r="E10" s="19">
        <v>3000000</v>
      </c>
      <c r="F10" s="20">
        <v>2917.779</v>
      </c>
      <c r="G10" s="21">
        <v>0.1008</v>
      </c>
      <c r="H10" s="22">
        <v>7.4527999999999997E-2</v>
      </c>
      <c r="I10" s="23"/>
    </row>
    <row r="11" spans="1:9" ht="12.9" customHeight="1">
      <c r="A11" s="17" t="s">
        <v>1149</v>
      </c>
      <c r="B11" s="18" t="s">
        <v>1150</v>
      </c>
      <c r="C11" s="14" t="s">
        <v>1151</v>
      </c>
      <c r="D11" s="14" t="s">
        <v>84</v>
      </c>
      <c r="E11" s="19">
        <v>2500000</v>
      </c>
      <c r="F11" s="20">
        <v>2480.7775000000001</v>
      </c>
      <c r="G11" s="21">
        <v>8.5699999999999998E-2</v>
      </c>
      <c r="H11" s="22">
        <v>7.4357999999999994E-2</v>
      </c>
      <c r="I11" s="23"/>
    </row>
    <row r="12" spans="1:9" ht="12.9" customHeight="1">
      <c r="A12" s="17" t="s">
        <v>1292</v>
      </c>
      <c r="B12" s="18" t="s">
        <v>1293</v>
      </c>
      <c r="C12" s="14" t="s">
        <v>1294</v>
      </c>
      <c r="D12" s="14" t="s">
        <v>84</v>
      </c>
      <c r="E12" s="19">
        <v>285800</v>
      </c>
      <c r="F12" s="20">
        <v>285.02949999999998</v>
      </c>
      <c r="G12" s="21">
        <v>9.7999999999999997E-3</v>
      </c>
      <c r="H12" s="22">
        <v>7.4568999999999996E-2</v>
      </c>
      <c r="I12" s="23"/>
    </row>
    <row r="13" spans="1:9" ht="12.9" customHeight="1">
      <c r="A13" s="5"/>
      <c r="B13" s="13" t="s">
        <v>88</v>
      </c>
      <c r="C13" s="14"/>
      <c r="D13" s="14"/>
      <c r="E13" s="14"/>
      <c r="F13" s="24">
        <v>26504.039199999999</v>
      </c>
      <c r="G13" s="25">
        <v>0.91520000000000001</v>
      </c>
      <c r="H13" s="26"/>
      <c r="I13" s="27"/>
    </row>
    <row r="14" spans="1:9" ht="12.9" customHeight="1">
      <c r="A14" s="5"/>
      <c r="B14" s="28" t="s">
        <v>89</v>
      </c>
      <c r="C14" s="2"/>
      <c r="D14" s="2"/>
      <c r="E14" s="2"/>
      <c r="F14" s="26" t="s">
        <v>90</v>
      </c>
      <c r="G14" s="26" t="s">
        <v>90</v>
      </c>
      <c r="H14" s="26"/>
      <c r="I14" s="27"/>
    </row>
    <row r="15" spans="1:9" ht="12.9" customHeight="1">
      <c r="A15" s="5"/>
      <c r="B15" s="28" t="s">
        <v>88</v>
      </c>
      <c r="C15" s="2"/>
      <c r="D15" s="2"/>
      <c r="E15" s="2"/>
      <c r="F15" s="26" t="s">
        <v>90</v>
      </c>
      <c r="G15" s="26" t="s">
        <v>90</v>
      </c>
      <c r="H15" s="26"/>
      <c r="I15" s="27"/>
    </row>
    <row r="16" spans="1:9" ht="12.9" customHeight="1">
      <c r="A16" s="5"/>
      <c r="B16" s="28" t="s">
        <v>91</v>
      </c>
      <c r="C16" s="29"/>
      <c r="D16" s="2"/>
      <c r="E16" s="29"/>
      <c r="F16" s="24">
        <v>26504.039199999999</v>
      </c>
      <c r="G16" s="25">
        <v>0.91520000000000001</v>
      </c>
      <c r="H16" s="26"/>
      <c r="I16" s="27"/>
    </row>
    <row r="17" spans="1:9" ht="12.9" customHeight="1">
      <c r="A17" s="5"/>
      <c r="B17" s="13" t="s">
        <v>285</v>
      </c>
      <c r="C17" s="14"/>
      <c r="D17" s="14"/>
      <c r="E17" s="14"/>
      <c r="F17" s="14"/>
      <c r="G17" s="14"/>
      <c r="H17" s="15"/>
      <c r="I17" s="16"/>
    </row>
    <row r="18" spans="1:9" ht="12.9" customHeight="1">
      <c r="A18" s="5"/>
      <c r="B18" s="13" t="s">
        <v>789</v>
      </c>
      <c r="C18" s="14"/>
      <c r="D18" s="14"/>
      <c r="E18" s="14"/>
      <c r="F18" s="5"/>
      <c r="G18" s="15"/>
      <c r="H18" s="15"/>
      <c r="I18" s="16"/>
    </row>
    <row r="19" spans="1:9" ht="12.9" customHeight="1">
      <c r="A19" s="17" t="s">
        <v>790</v>
      </c>
      <c r="B19" s="18" t="s">
        <v>791</v>
      </c>
      <c r="C19" s="14" t="s">
        <v>792</v>
      </c>
      <c r="D19" s="14"/>
      <c r="E19" s="19">
        <v>1344.4079999999999</v>
      </c>
      <c r="F19" s="20">
        <v>154.86250000000001</v>
      </c>
      <c r="G19" s="21">
        <v>5.3E-3</v>
      </c>
      <c r="H19" s="22"/>
      <c r="I19" s="23"/>
    </row>
    <row r="20" spans="1:9" ht="12.9" customHeight="1">
      <c r="A20" s="5"/>
      <c r="B20" s="13" t="s">
        <v>88</v>
      </c>
      <c r="C20" s="14"/>
      <c r="D20" s="14"/>
      <c r="E20" s="14"/>
      <c r="F20" s="24">
        <v>154.86250000000001</v>
      </c>
      <c r="G20" s="25">
        <v>5.3E-3</v>
      </c>
      <c r="H20" s="26"/>
      <c r="I20" s="27"/>
    </row>
    <row r="21" spans="1:9" ht="12.9" customHeight="1">
      <c r="A21" s="5"/>
      <c r="B21" s="28" t="s">
        <v>91</v>
      </c>
      <c r="C21" s="29"/>
      <c r="D21" s="2"/>
      <c r="E21" s="29"/>
      <c r="F21" s="24">
        <v>154.86250000000001</v>
      </c>
      <c r="G21" s="25">
        <v>5.3E-3</v>
      </c>
      <c r="H21" s="26"/>
      <c r="I21" s="27"/>
    </row>
    <row r="22" spans="1:9" ht="12.9" customHeight="1">
      <c r="A22" s="5"/>
      <c r="B22" s="13" t="s">
        <v>92</v>
      </c>
      <c r="C22" s="14"/>
      <c r="D22" s="14"/>
      <c r="E22" s="14"/>
      <c r="F22" s="14"/>
      <c r="G22" s="14"/>
      <c r="H22" s="15"/>
      <c r="I22" s="16"/>
    </row>
    <row r="23" spans="1:9" ht="12.9" customHeight="1">
      <c r="A23" s="17" t="s">
        <v>93</v>
      </c>
      <c r="B23" s="18" t="s">
        <v>94</v>
      </c>
      <c r="C23" s="14"/>
      <c r="D23" s="14"/>
      <c r="E23" s="19"/>
      <c r="F23" s="20">
        <v>1899.54</v>
      </c>
      <c r="G23" s="21">
        <v>6.5600000000000006E-2</v>
      </c>
      <c r="H23" s="22">
        <v>5.0765163901715767E-2</v>
      </c>
      <c r="I23" s="23"/>
    </row>
    <row r="24" spans="1:9" ht="12.9" customHeight="1">
      <c r="A24" s="5"/>
      <c r="B24" s="13" t="s">
        <v>88</v>
      </c>
      <c r="C24" s="14"/>
      <c r="D24" s="14"/>
      <c r="E24" s="14"/>
      <c r="F24" s="24">
        <v>1899.54</v>
      </c>
      <c r="G24" s="25">
        <v>6.5600000000000006E-2</v>
      </c>
      <c r="H24" s="26"/>
      <c r="I24" s="27"/>
    </row>
    <row r="25" spans="1:9" ht="12.9" customHeight="1">
      <c r="A25" s="5"/>
      <c r="B25" s="28" t="s">
        <v>91</v>
      </c>
      <c r="C25" s="29"/>
      <c r="D25" s="2"/>
      <c r="E25" s="29"/>
      <c r="F25" s="24">
        <v>1899.54</v>
      </c>
      <c r="G25" s="25">
        <v>6.5600000000000006E-2</v>
      </c>
      <c r="H25" s="26"/>
      <c r="I25" s="27"/>
    </row>
    <row r="26" spans="1:9" ht="12.9" customHeight="1">
      <c r="A26" s="5"/>
      <c r="B26" s="28" t="s">
        <v>96</v>
      </c>
      <c r="C26" s="14"/>
      <c r="D26" s="2"/>
      <c r="E26" s="14"/>
      <c r="F26" s="31">
        <v>399.87830000000002</v>
      </c>
      <c r="G26" s="25">
        <v>1.3899999999999999E-2</v>
      </c>
      <c r="H26" s="26"/>
      <c r="I26" s="27"/>
    </row>
    <row r="27" spans="1:9" ht="12.9" customHeight="1">
      <c r="A27" s="5"/>
      <c r="B27" s="32" t="s">
        <v>97</v>
      </c>
      <c r="C27" s="33"/>
      <c r="D27" s="33"/>
      <c r="E27" s="33"/>
      <c r="F27" s="34">
        <v>28958.32</v>
      </c>
      <c r="G27" s="35">
        <v>1</v>
      </c>
      <c r="H27" s="36"/>
      <c r="I27" s="37"/>
    </row>
    <row r="28" spans="1:9" ht="12.9" customHeight="1">
      <c r="A28" s="5"/>
      <c r="B28" s="7"/>
      <c r="C28" s="5"/>
      <c r="D28" s="5"/>
      <c r="E28" s="5"/>
      <c r="F28" s="5"/>
      <c r="G28" s="5"/>
      <c r="H28" s="5"/>
      <c r="I28" s="5"/>
    </row>
    <row r="29" spans="1:9" ht="12.9" customHeight="1">
      <c r="A29" s="5"/>
      <c r="B29" s="4" t="s">
        <v>99</v>
      </c>
      <c r="C29" s="5"/>
      <c r="D29" s="5"/>
      <c r="E29" s="5"/>
      <c r="F29" s="5"/>
      <c r="G29" s="5"/>
      <c r="H29" s="5"/>
      <c r="I29" s="5"/>
    </row>
    <row r="30" spans="1:9" ht="26.1" customHeight="1">
      <c r="A30" s="5"/>
      <c r="B30" s="50" t="s">
        <v>100</v>
      </c>
      <c r="C30" s="50"/>
      <c r="D30" s="50"/>
      <c r="E30" s="50"/>
      <c r="F30" s="50"/>
      <c r="G30" s="50"/>
      <c r="H30" s="50"/>
      <c r="I30" s="50"/>
    </row>
    <row r="31" spans="1:9" ht="12.9" customHeight="1">
      <c r="A31" s="5"/>
      <c r="B31" s="50" t="s">
        <v>101</v>
      </c>
      <c r="C31" s="50"/>
      <c r="D31" s="50"/>
      <c r="E31" s="50"/>
      <c r="F31" s="50"/>
      <c r="G31" s="50"/>
      <c r="H31" s="50"/>
      <c r="I31" s="50"/>
    </row>
    <row r="32" spans="1:9" ht="12.9" customHeight="1">
      <c r="A32" s="5"/>
      <c r="B32" s="50"/>
      <c r="C32" s="50"/>
      <c r="D32" s="50"/>
      <c r="E32" s="50"/>
      <c r="F32" s="50"/>
      <c r="G32" s="50"/>
      <c r="H32" s="50"/>
      <c r="I32" s="50"/>
    </row>
    <row r="33" spans="1:9" ht="12.9" customHeight="1">
      <c r="A33" s="5"/>
      <c r="B33" s="50"/>
      <c r="C33" s="50"/>
      <c r="D33" s="50"/>
      <c r="E33" s="50"/>
      <c r="F33" s="50"/>
      <c r="G33" s="50"/>
      <c r="H33" s="50"/>
      <c r="I33" s="50"/>
    </row>
    <row r="34" spans="1:9" ht="12.9" customHeight="1">
      <c r="A34" s="5"/>
      <c r="B34" s="5"/>
      <c r="C34" s="51" t="s">
        <v>1760</v>
      </c>
      <c r="D34" s="51"/>
      <c r="E34" s="51"/>
      <c r="F34" s="51"/>
      <c r="G34" s="5"/>
      <c r="H34" s="5"/>
      <c r="I34" s="5"/>
    </row>
    <row r="35" spans="1:9" ht="12.9" customHeight="1">
      <c r="A35" s="5"/>
      <c r="B35" s="38" t="s">
        <v>103</v>
      </c>
      <c r="C35" s="51" t="s">
        <v>104</v>
      </c>
      <c r="D35" s="51"/>
      <c r="E35" s="51"/>
      <c r="F35" s="51"/>
      <c r="G35" s="5"/>
      <c r="H35" s="5"/>
      <c r="I35" s="5"/>
    </row>
    <row r="36" spans="1:9" ht="135" customHeight="1">
      <c r="A36" s="5"/>
      <c r="B36" s="39"/>
      <c r="C36" s="52"/>
      <c r="D36" s="52"/>
      <c r="E36" s="5"/>
      <c r="F36" s="5"/>
      <c r="G36" s="5"/>
      <c r="H36" s="5"/>
      <c r="I36" s="5"/>
    </row>
  </sheetData>
  <mergeCells count="7">
    <mergeCell ref="B33:I33"/>
    <mergeCell ref="C34:F34"/>
    <mergeCell ref="C35:F35"/>
    <mergeCell ref="C36:D36"/>
    <mergeCell ref="B30:I30"/>
    <mergeCell ref="B31:I31"/>
    <mergeCell ref="B32:I32"/>
  </mergeCells>
  <hyperlinks>
    <hyperlink ref="A1" location="AxisLongDurationFund" display="AXISLDF" xr:uid="{00000000-0004-0000-2B00-000000000000}"/>
    <hyperlink ref="B1" location="AxisLongDurationFund" display="Axis Long Duration Fund" xr:uid="{00000000-0004-0000-2B00-000001000000}"/>
  </hyperlinks>
  <pageMargins left="0" right="0" top="0" bottom="0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/>
  </sheetPr>
  <dimension ref="A1:I160"/>
  <sheetViews>
    <sheetView workbookViewId="0">
      <selection activeCell="B156" sqref="B156:I156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43</v>
      </c>
      <c r="B1" s="4" t="s">
        <v>44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1761</v>
      </c>
      <c r="B7" s="18" t="s">
        <v>1762</v>
      </c>
      <c r="C7" s="14" t="s">
        <v>1763</v>
      </c>
      <c r="D7" s="14" t="s">
        <v>84</v>
      </c>
      <c r="E7" s="19">
        <v>10000000</v>
      </c>
      <c r="F7" s="20">
        <v>10055.92</v>
      </c>
      <c r="G7" s="21">
        <v>2.5999999999999999E-3</v>
      </c>
      <c r="H7" s="22">
        <v>5.4650999999999998E-2</v>
      </c>
      <c r="I7" s="23"/>
    </row>
    <row r="8" spans="1:9" ht="12.9" customHeight="1">
      <c r="A8" s="17" t="s">
        <v>1764</v>
      </c>
      <c r="B8" s="18" t="s">
        <v>1765</v>
      </c>
      <c r="C8" s="14" t="s">
        <v>1766</v>
      </c>
      <c r="D8" s="14" t="s">
        <v>84</v>
      </c>
      <c r="E8" s="19">
        <v>8500000</v>
      </c>
      <c r="F8" s="20">
        <v>8504.4030000000002</v>
      </c>
      <c r="G8" s="21">
        <v>2.2000000000000001E-3</v>
      </c>
      <c r="H8" s="22">
        <v>5.4670999999999997E-2</v>
      </c>
      <c r="I8" s="23"/>
    </row>
    <row r="9" spans="1:9" ht="12.9" customHeight="1">
      <c r="A9" s="17" t="s">
        <v>1767</v>
      </c>
      <c r="B9" s="18" t="s">
        <v>1768</v>
      </c>
      <c r="C9" s="14" t="s">
        <v>1769</v>
      </c>
      <c r="D9" s="14" t="s">
        <v>84</v>
      </c>
      <c r="E9" s="19">
        <v>8500000</v>
      </c>
      <c r="F9" s="20">
        <v>8504.3945000000003</v>
      </c>
      <c r="G9" s="21">
        <v>2.2000000000000001E-3</v>
      </c>
      <c r="H9" s="22">
        <v>5.4719999999999998E-2</v>
      </c>
      <c r="I9" s="23"/>
    </row>
    <row r="10" spans="1:9" ht="12.9" customHeight="1">
      <c r="A10" s="17" t="s">
        <v>1770</v>
      </c>
      <c r="B10" s="18" t="s">
        <v>1771</v>
      </c>
      <c r="C10" s="14" t="s">
        <v>1772</v>
      </c>
      <c r="D10" s="14" t="s">
        <v>109</v>
      </c>
      <c r="E10" s="19">
        <v>750</v>
      </c>
      <c r="F10" s="20">
        <v>7512.6674999999996</v>
      </c>
      <c r="G10" s="21">
        <v>2E-3</v>
      </c>
      <c r="H10" s="22">
        <v>6.7251000000000005E-2</v>
      </c>
      <c r="I10" s="23"/>
    </row>
    <row r="11" spans="1:9" ht="12.9" customHeight="1">
      <c r="A11" s="17" t="s">
        <v>1773</v>
      </c>
      <c r="B11" s="18" t="s">
        <v>1774</v>
      </c>
      <c r="C11" s="14" t="s">
        <v>1775</v>
      </c>
      <c r="D11" s="14" t="s">
        <v>84</v>
      </c>
      <c r="E11" s="19">
        <v>6714000</v>
      </c>
      <c r="F11" s="20">
        <v>6752.1557000000003</v>
      </c>
      <c r="G11" s="21">
        <v>1.8E-3</v>
      </c>
      <c r="H11" s="22">
        <v>5.4842000000000002E-2</v>
      </c>
      <c r="I11" s="23"/>
    </row>
    <row r="12" spans="1:9" ht="12.9" customHeight="1">
      <c r="A12" s="17" t="s">
        <v>1776</v>
      </c>
      <c r="B12" s="18" t="s">
        <v>1777</v>
      </c>
      <c r="C12" s="14" t="s">
        <v>1778</v>
      </c>
      <c r="D12" s="14" t="s">
        <v>109</v>
      </c>
      <c r="E12" s="19">
        <v>500</v>
      </c>
      <c r="F12" s="20">
        <v>5007.1949999999997</v>
      </c>
      <c r="G12" s="21">
        <v>1.2999999999999999E-3</v>
      </c>
      <c r="H12" s="22">
        <v>6.6849000000000006E-2</v>
      </c>
      <c r="I12" s="23"/>
    </row>
    <row r="13" spans="1:9" ht="12.9" customHeight="1">
      <c r="A13" s="17" t="s">
        <v>1779</v>
      </c>
      <c r="B13" s="18" t="s">
        <v>1780</v>
      </c>
      <c r="C13" s="14" t="s">
        <v>1781</v>
      </c>
      <c r="D13" s="14" t="s">
        <v>109</v>
      </c>
      <c r="E13" s="19">
        <v>250</v>
      </c>
      <c r="F13" s="20">
        <v>3169.13</v>
      </c>
      <c r="G13" s="21">
        <v>8.0000000000000004E-4</v>
      </c>
      <c r="H13" s="22">
        <v>6.8249000000000004E-2</v>
      </c>
      <c r="I13" s="23"/>
    </row>
    <row r="14" spans="1:9" ht="12.9" customHeight="1">
      <c r="A14" s="17" t="s">
        <v>1782</v>
      </c>
      <c r="B14" s="18" t="s">
        <v>1783</v>
      </c>
      <c r="C14" s="14" t="s">
        <v>1784</v>
      </c>
      <c r="D14" s="14" t="s">
        <v>84</v>
      </c>
      <c r="E14" s="19">
        <v>2500000</v>
      </c>
      <c r="F14" s="20">
        <v>2501.2950000000001</v>
      </c>
      <c r="G14" s="21">
        <v>6.9999999999999999E-4</v>
      </c>
      <c r="H14" s="22">
        <v>5.4670999999999997E-2</v>
      </c>
      <c r="I14" s="23"/>
    </row>
    <row r="15" spans="1:9" ht="12.9" customHeight="1">
      <c r="A15" s="17" t="s">
        <v>1785</v>
      </c>
      <c r="B15" s="18" t="s">
        <v>1786</v>
      </c>
      <c r="C15" s="14" t="s">
        <v>1787</v>
      </c>
      <c r="D15" s="14" t="s">
        <v>84</v>
      </c>
      <c r="E15" s="19">
        <v>500000</v>
      </c>
      <c r="F15" s="20">
        <v>500.25799999999998</v>
      </c>
      <c r="G15" s="21">
        <v>1E-4</v>
      </c>
      <c r="H15" s="22">
        <v>5.4670999999999997E-2</v>
      </c>
      <c r="I15" s="23"/>
    </row>
    <row r="16" spans="1:9" ht="12.9" customHeight="1">
      <c r="A16" s="5"/>
      <c r="B16" s="13" t="s">
        <v>88</v>
      </c>
      <c r="C16" s="14"/>
      <c r="D16" s="14"/>
      <c r="E16" s="14"/>
      <c r="F16" s="24">
        <v>52507.418700000002</v>
      </c>
      <c r="G16" s="25">
        <v>1.38E-2</v>
      </c>
      <c r="H16" s="26"/>
      <c r="I16" s="27"/>
    </row>
    <row r="17" spans="1:9" ht="12.9" customHeight="1">
      <c r="A17" s="5"/>
      <c r="B17" s="28" t="s">
        <v>89</v>
      </c>
      <c r="C17" s="2"/>
      <c r="D17" s="2"/>
      <c r="E17" s="2"/>
      <c r="F17" s="26" t="s">
        <v>90</v>
      </c>
      <c r="G17" s="26" t="s">
        <v>90</v>
      </c>
      <c r="H17" s="26"/>
      <c r="I17" s="27"/>
    </row>
    <row r="18" spans="1:9" ht="12.9" customHeight="1">
      <c r="A18" s="5"/>
      <c r="B18" s="28" t="s">
        <v>88</v>
      </c>
      <c r="C18" s="2"/>
      <c r="D18" s="2"/>
      <c r="E18" s="2"/>
      <c r="F18" s="26" t="s">
        <v>90</v>
      </c>
      <c r="G18" s="26" t="s">
        <v>90</v>
      </c>
      <c r="H18" s="26"/>
      <c r="I18" s="27"/>
    </row>
    <row r="19" spans="1:9" ht="12.9" customHeight="1">
      <c r="A19" s="5"/>
      <c r="B19" s="28" t="s">
        <v>91</v>
      </c>
      <c r="C19" s="29"/>
      <c r="D19" s="2"/>
      <c r="E19" s="29"/>
      <c r="F19" s="24">
        <v>52507.418700000002</v>
      </c>
      <c r="G19" s="25">
        <v>1.38E-2</v>
      </c>
      <c r="H19" s="26"/>
      <c r="I19" s="27"/>
    </row>
    <row r="20" spans="1:9" ht="12.9" customHeight="1">
      <c r="A20" s="5"/>
      <c r="B20" s="13" t="s">
        <v>311</v>
      </c>
      <c r="C20" s="14"/>
      <c r="D20" s="14"/>
      <c r="E20" s="14"/>
      <c r="F20" s="14"/>
      <c r="G20" s="14"/>
      <c r="H20" s="15"/>
      <c r="I20" s="16"/>
    </row>
    <row r="21" spans="1:9" ht="12.9" customHeight="1">
      <c r="A21" s="5"/>
      <c r="B21" s="13" t="s">
        <v>762</v>
      </c>
      <c r="C21" s="14"/>
      <c r="D21" s="14"/>
      <c r="E21" s="14"/>
      <c r="F21" s="5"/>
      <c r="G21" s="15"/>
      <c r="H21" s="15"/>
      <c r="I21" s="16"/>
    </row>
    <row r="22" spans="1:9" ht="12.9" customHeight="1">
      <c r="A22" s="17" t="s">
        <v>1788</v>
      </c>
      <c r="B22" s="18" t="s">
        <v>1789</v>
      </c>
      <c r="C22" s="14" t="s">
        <v>1790</v>
      </c>
      <c r="D22" s="14" t="s">
        <v>766</v>
      </c>
      <c r="E22" s="19">
        <v>20500</v>
      </c>
      <c r="F22" s="20">
        <v>102500</v>
      </c>
      <c r="G22" s="21">
        <v>2.6800000000000001E-2</v>
      </c>
      <c r="H22" s="22">
        <v>5.2614000000000001E-2</v>
      </c>
      <c r="I22" s="23"/>
    </row>
    <row r="23" spans="1:9" ht="12.9" customHeight="1">
      <c r="A23" s="17" t="s">
        <v>1791</v>
      </c>
      <c r="B23" s="18" t="s">
        <v>1792</v>
      </c>
      <c r="C23" s="14" t="s">
        <v>1793</v>
      </c>
      <c r="D23" s="14" t="s">
        <v>766</v>
      </c>
      <c r="E23" s="19">
        <v>20000</v>
      </c>
      <c r="F23" s="20">
        <v>99969.3</v>
      </c>
      <c r="G23" s="21">
        <v>2.6200000000000001E-2</v>
      </c>
      <c r="H23" s="22">
        <v>5.6044999999999998E-2</v>
      </c>
      <c r="I23" s="23"/>
    </row>
    <row r="24" spans="1:9" ht="12.9" customHeight="1">
      <c r="A24" s="17" t="s">
        <v>1794</v>
      </c>
      <c r="B24" s="18" t="s">
        <v>1795</v>
      </c>
      <c r="C24" s="14" t="s">
        <v>1796</v>
      </c>
      <c r="D24" s="14" t="s">
        <v>770</v>
      </c>
      <c r="E24" s="19">
        <v>20000</v>
      </c>
      <c r="F24" s="20">
        <v>98825.4</v>
      </c>
      <c r="G24" s="21">
        <v>2.5899999999999999E-2</v>
      </c>
      <c r="H24" s="22">
        <v>6.1101999999999997E-2</v>
      </c>
      <c r="I24" s="23"/>
    </row>
    <row r="25" spans="1:9" ht="12.9" customHeight="1">
      <c r="A25" s="17" t="s">
        <v>1797</v>
      </c>
      <c r="B25" s="18" t="s">
        <v>1798</v>
      </c>
      <c r="C25" s="14" t="s">
        <v>1799</v>
      </c>
      <c r="D25" s="14" t="s">
        <v>766</v>
      </c>
      <c r="E25" s="19">
        <v>15000</v>
      </c>
      <c r="F25" s="20">
        <v>73932.074999999997</v>
      </c>
      <c r="G25" s="21">
        <v>1.9400000000000001E-2</v>
      </c>
      <c r="H25" s="22">
        <v>6.0601000000000002E-2</v>
      </c>
      <c r="I25" s="23"/>
    </row>
    <row r="26" spans="1:9" ht="12.9" customHeight="1">
      <c r="A26" s="17" t="s">
        <v>1800</v>
      </c>
      <c r="B26" s="18" t="s">
        <v>1801</v>
      </c>
      <c r="C26" s="14" t="s">
        <v>1802</v>
      </c>
      <c r="D26" s="14" t="s">
        <v>1583</v>
      </c>
      <c r="E26" s="19">
        <v>13500</v>
      </c>
      <c r="F26" s="20">
        <v>66678.524999999994</v>
      </c>
      <c r="G26" s="21">
        <v>1.7500000000000002E-2</v>
      </c>
      <c r="H26" s="22">
        <v>6.1601000000000003E-2</v>
      </c>
      <c r="I26" s="23"/>
    </row>
    <row r="27" spans="1:9" ht="12.9" customHeight="1">
      <c r="A27" s="17" t="s">
        <v>777</v>
      </c>
      <c r="B27" s="18" t="s">
        <v>778</v>
      </c>
      <c r="C27" s="14" t="s">
        <v>779</v>
      </c>
      <c r="D27" s="14" t="s">
        <v>770</v>
      </c>
      <c r="E27" s="19">
        <v>13500</v>
      </c>
      <c r="F27" s="20">
        <v>66616.695000000007</v>
      </c>
      <c r="G27" s="21">
        <v>1.7399999999999999E-2</v>
      </c>
      <c r="H27" s="22">
        <v>6.0498999999999997E-2</v>
      </c>
      <c r="I27" s="23"/>
    </row>
    <row r="28" spans="1:9" ht="12.9" customHeight="1">
      <c r="A28" s="17" t="s">
        <v>1803</v>
      </c>
      <c r="B28" s="18" t="s">
        <v>1804</v>
      </c>
      <c r="C28" s="14" t="s">
        <v>1805</v>
      </c>
      <c r="D28" s="14" t="s">
        <v>766</v>
      </c>
      <c r="E28" s="19">
        <v>13000</v>
      </c>
      <c r="F28" s="20">
        <v>64179.57</v>
      </c>
      <c r="G28" s="21">
        <v>1.6799999999999999E-2</v>
      </c>
      <c r="H28" s="22">
        <v>6.0599E-2</v>
      </c>
      <c r="I28" s="23"/>
    </row>
    <row r="29" spans="1:9" ht="12.9" customHeight="1">
      <c r="A29" s="17" t="s">
        <v>1806</v>
      </c>
      <c r="B29" s="18" t="s">
        <v>1807</v>
      </c>
      <c r="C29" s="14" t="s">
        <v>1808</v>
      </c>
      <c r="D29" s="14" t="s">
        <v>770</v>
      </c>
      <c r="E29" s="19">
        <v>11000</v>
      </c>
      <c r="F29" s="20">
        <v>54991.75</v>
      </c>
      <c r="G29" s="21">
        <v>1.44E-2</v>
      </c>
      <c r="H29" s="22">
        <v>5.4940999999999997E-2</v>
      </c>
      <c r="I29" s="23"/>
    </row>
    <row r="30" spans="1:9" ht="12.9" customHeight="1">
      <c r="A30" s="17" t="s">
        <v>1809</v>
      </c>
      <c r="B30" s="18" t="s">
        <v>1810</v>
      </c>
      <c r="C30" s="14" t="s">
        <v>1811</v>
      </c>
      <c r="D30" s="14" t="s">
        <v>766</v>
      </c>
      <c r="E30" s="19">
        <v>10500</v>
      </c>
      <c r="F30" s="20">
        <v>52325.122499999998</v>
      </c>
      <c r="G30" s="21">
        <v>1.37E-2</v>
      </c>
      <c r="H30" s="22">
        <v>6.0999999999999999E-2</v>
      </c>
      <c r="I30" s="23"/>
    </row>
    <row r="31" spans="1:9" ht="12.9" customHeight="1">
      <c r="A31" s="17" t="s">
        <v>1812</v>
      </c>
      <c r="B31" s="18" t="s">
        <v>1813</v>
      </c>
      <c r="C31" s="14" t="s">
        <v>1814</v>
      </c>
      <c r="D31" s="14" t="s">
        <v>1583</v>
      </c>
      <c r="E31" s="19">
        <v>10000</v>
      </c>
      <c r="F31" s="20">
        <v>49418.1</v>
      </c>
      <c r="G31" s="21">
        <v>1.29E-2</v>
      </c>
      <c r="H31" s="22">
        <v>6.1400999999999997E-2</v>
      </c>
      <c r="I31" s="23"/>
    </row>
    <row r="32" spans="1:9" ht="12.9" customHeight="1">
      <c r="A32" s="17" t="s">
        <v>1815</v>
      </c>
      <c r="B32" s="18" t="s">
        <v>1816</v>
      </c>
      <c r="C32" s="14" t="s">
        <v>1817</v>
      </c>
      <c r="D32" s="14" t="s">
        <v>770</v>
      </c>
      <c r="E32" s="19">
        <v>10000</v>
      </c>
      <c r="F32" s="20">
        <v>49403.1</v>
      </c>
      <c r="G32" s="21">
        <v>1.29E-2</v>
      </c>
      <c r="H32" s="22">
        <v>6.1249999999999999E-2</v>
      </c>
      <c r="I32" s="23"/>
    </row>
    <row r="33" spans="1:9" ht="12.9" customHeight="1">
      <c r="A33" s="17" t="s">
        <v>1818</v>
      </c>
      <c r="B33" s="18" t="s">
        <v>1819</v>
      </c>
      <c r="C33" s="14" t="s">
        <v>1820</v>
      </c>
      <c r="D33" s="14" t="s">
        <v>1583</v>
      </c>
      <c r="E33" s="19">
        <v>10000</v>
      </c>
      <c r="F33" s="20">
        <v>49364.800000000003</v>
      </c>
      <c r="G33" s="21">
        <v>1.29E-2</v>
      </c>
      <c r="H33" s="22">
        <v>6.615E-2</v>
      </c>
      <c r="I33" s="23"/>
    </row>
    <row r="34" spans="1:9" ht="12.9" customHeight="1">
      <c r="A34" s="17" t="s">
        <v>1821</v>
      </c>
      <c r="B34" s="18" t="s">
        <v>1822</v>
      </c>
      <c r="C34" s="14" t="s">
        <v>1823</v>
      </c>
      <c r="D34" s="14" t="s">
        <v>1485</v>
      </c>
      <c r="E34" s="19">
        <v>10000</v>
      </c>
      <c r="F34" s="20">
        <v>49274.15</v>
      </c>
      <c r="G34" s="21">
        <v>1.29E-2</v>
      </c>
      <c r="H34" s="22">
        <v>6.1800000000000001E-2</v>
      </c>
      <c r="I34" s="23"/>
    </row>
    <row r="35" spans="1:9" ht="12.9" customHeight="1">
      <c r="A35" s="17" t="s">
        <v>1824</v>
      </c>
      <c r="B35" s="18" t="s">
        <v>1825</v>
      </c>
      <c r="C35" s="14" t="s">
        <v>1826</v>
      </c>
      <c r="D35" s="14" t="s">
        <v>1485</v>
      </c>
      <c r="E35" s="19">
        <v>9500</v>
      </c>
      <c r="F35" s="20">
        <v>47108.22</v>
      </c>
      <c r="G35" s="21">
        <v>1.23E-2</v>
      </c>
      <c r="H35" s="22">
        <v>6.1949999999999998E-2</v>
      </c>
      <c r="I35" s="23"/>
    </row>
    <row r="36" spans="1:9" ht="12.9" customHeight="1">
      <c r="A36" s="17" t="s">
        <v>1827</v>
      </c>
      <c r="B36" s="18" t="s">
        <v>1828</v>
      </c>
      <c r="C36" s="14" t="s">
        <v>1829</v>
      </c>
      <c r="D36" s="14" t="s">
        <v>766</v>
      </c>
      <c r="E36" s="19">
        <v>8000</v>
      </c>
      <c r="F36" s="20">
        <v>39886.68</v>
      </c>
      <c r="G36" s="21">
        <v>1.04E-2</v>
      </c>
      <c r="H36" s="22">
        <v>6.0999999999999999E-2</v>
      </c>
      <c r="I36" s="23"/>
    </row>
    <row r="37" spans="1:9" ht="12.9" customHeight="1">
      <c r="A37" s="17" t="s">
        <v>1830</v>
      </c>
      <c r="B37" s="18" t="s">
        <v>1831</v>
      </c>
      <c r="C37" s="14" t="s">
        <v>1832</v>
      </c>
      <c r="D37" s="14" t="s">
        <v>1583</v>
      </c>
      <c r="E37" s="19">
        <v>8000</v>
      </c>
      <c r="F37" s="20">
        <v>39483</v>
      </c>
      <c r="G37" s="21">
        <v>1.03E-2</v>
      </c>
      <c r="H37" s="22">
        <v>6.0498999999999997E-2</v>
      </c>
      <c r="I37" s="23"/>
    </row>
    <row r="38" spans="1:9" ht="12.9" customHeight="1">
      <c r="A38" s="17" t="s">
        <v>1833</v>
      </c>
      <c r="B38" s="18" t="s">
        <v>1834</v>
      </c>
      <c r="C38" s="14" t="s">
        <v>1835</v>
      </c>
      <c r="D38" s="14" t="s">
        <v>770</v>
      </c>
      <c r="E38" s="19">
        <v>6000</v>
      </c>
      <c r="F38" s="20">
        <v>29828.58</v>
      </c>
      <c r="G38" s="21">
        <v>7.7999999999999996E-3</v>
      </c>
      <c r="H38" s="22">
        <v>6.1698999999999997E-2</v>
      </c>
      <c r="I38" s="23"/>
    </row>
    <row r="39" spans="1:9" ht="12.9" customHeight="1">
      <c r="A39" s="17" t="s">
        <v>1836</v>
      </c>
      <c r="B39" s="18" t="s">
        <v>1837</v>
      </c>
      <c r="C39" s="14" t="s">
        <v>1838</v>
      </c>
      <c r="D39" s="14" t="s">
        <v>770</v>
      </c>
      <c r="E39" s="19">
        <v>6000</v>
      </c>
      <c r="F39" s="20">
        <v>29787.66</v>
      </c>
      <c r="G39" s="21">
        <v>7.7999999999999996E-3</v>
      </c>
      <c r="H39" s="22">
        <v>6.1949999999999998E-2</v>
      </c>
      <c r="I39" s="23"/>
    </row>
    <row r="40" spans="1:9" ht="12.9" customHeight="1">
      <c r="A40" s="17" t="s">
        <v>1839</v>
      </c>
      <c r="B40" s="18" t="s">
        <v>1840</v>
      </c>
      <c r="C40" s="14" t="s">
        <v>1841</v>
      </c>
      <c r="D40" s="14" t="s">
        <v>1583</v>
      </c>
      <c r="E40" s="19">
        <v>6000</v>
      </c>
      <c r="F40" s="20">
        <v>29707.56</v>
      </c>
      <c r="G40" s="21">
        <v>7.7999999999999996E-3</v>
      </c>
      <c r="H40" s="22">
        <v>6.1948999999999997E-2</v>
      </c>
      <c r="I40" s="23"/>
    </row>
    <row r="41" spans="1:9" ht="12.9" customHeight="1">
      <c r="A41" s="17" t="s">
        <v>1842</v>
      </c>
      <c r="B41" s="18" t="s">
        <v>1843</v>
      </c>
      <c r="C41" s="14" t="s">
        <v>1844</v>
      </c>
      <c r="D41" s="14" t="s">
        <v>766</v>
      </c>
      <c r="E41" s="19">
        <v>5000</v>
      </c>
      <c r="F41" s="20">
        <v>25000</v>
      </c>
      <c r="G41" s="21">
        <v>6.4999999999999997E-3</v>
      </c>
      <c r="H41" s="22">
        <v>5.2567999999999997E-2</v>
      </c>
      <c r="I41" s="23"/>
    </row>
    <row r="42" spans="1:9" ht="12.9" customHeight="1">
      <c r="A42" s="17" t="s">
        <v>1845</v>
      </c>
      <c r="B42" s="18" t="s">
        <v>1846</v>
      </c>
      <c r="C42" s="14" t="s">
        <v>1847</v>
      </c>
      <c r="D42" s="14" t="s">
        <v>770</v>
      </c>
      <c r="E42" s="19">
        <v>5000</v>
      </c>
      <c r="F42" s="20">
        <v>24996.224999999999</v>
      </c>
      <c r="G42" s="21">
        <v>6.4999999999999997E-3</v>
      </c>
      <c r="H42" s="22">
        <v>5.4948999999999998E-2</v>
      </c>
      <c r="I42" s="23"/>
    </row>
    <row r="43" spans="1:9" ht="12.9" customHeight="1">
      <c r="A43" s="17" t="s">
        <v>1848</v>
      </c>
      <c r="B43" s="18" t="s">
        <v>1849</v>
      </c>
      <c r="C43" s="14" t="s">
        <v>1850</v>
      </c>
      <c r="D43" s="14" t="s">
        <v>770</v>
      </c>
      <c r="E43" s="19">
        <v>5000</v>
      </c>
      <c r="F43" s="20">
        <v>24912.575000000001</v>
      </c>
      <c r="G43" s="21">
        <v>6.4999999999999997E-3</v>
      </c>
      <c r="H43" s="22">
        <v>6.0999999999999999E-2</v>
      </c>
      <c r="I43" s="23"/>
    </row>
    <row r="44" spans="1:9" ht="12.9" customHeight="1">
      <c r="A44" s="17" t="s">
        <v>1851</v>
      </c>
      <c r="B44" s="18" t="s">
        <v>1852</v>
      </c>
      <c r="C44" s="14" t="s">
        <v>1853</v>
      </c>
      <c r="D44" s="14" t="s">
        <v>770</v>
      </c>
      <c r="E44" s="19">
        <v>5000</v>
      </c>
      <c r="F44" s="20">
        <v>24646.075000000001</v>
      </c>
      <c r="G44" s="21">
        <v>6.4999999999999997E-3</v>
      </c>
      <c r="H44" s="22">
        <v>6.0949999999999997E-2</v>
      </c>
      <c r="I44" s="23"/>
    </row>
    <row r="45" spans="1:9" ht="12.9" customHeight="1">
      <c r="A45" s="17" t="s">
        <v>1854</v>
      </c>
      <c r="B45" s="18" t="s">
        <v>1855</v>
      </c>
      <c r="C45" s="14" t="s">
        <v>1856</v>
      </c>
      <c r="D45" s="14" t="s">
        <v>770</v>
      </c>
      <c r="E45" s="19">
        <v>4900</v>
      </c>
      <c r="F45" s="20">
        <v>24379.166000000001</v>
      </c>
      <c r="G45" s="21">
        <v>6.4000000000000003E-3</v>
      </c>
      <c r="H45" s="22">
        <v>6.0302000000000001E-2</v>
      </c>
      <c r="I45" s="23"/>
    </row>
    <row r="46" spans="1:9" ht="12.9" customHeight="1">
      <c r="A46" s="17" t="s">
        <v>1593</v>
      </c>
      <c r="B46" s="18" t="s">
        <v>1594</v>
      </c>
      <c r="C46" s="14" t="s">
        <v>1595</v>
      </c>
      <c r="D46" s="14" t="s">
        <v>770</v>
      </c>
      <c r="E46" s="19">
        <v>4500</v>
      </c>
      <c r="F46" s="20">
        <v>22311.427500000002</v>
      </c>
      <c r="G46" s="21">
        <v>5.7999999999999996E-3</v>
      </c>
      <c r="H46" s="22">
        <v>6.1698000000000003E-2</v>
      </c>
      <c r="I46" s="23"/>
    </row>
    <row r="47" spans="1:9" ht="12.9" customHeight="1">
      <c r="A47" s="17" t="s">
        <v>1857</v>
      </c>
      <c r="B47" s="18" t="s">
        <v>1858</v>
      </c>
      <c r="C47" s="14" t="s">
        <v>1859</v>
      </c>
      <c r="D47" s="14" t="s">
        <v>770</v>
      </c>
      <c r="E47" s="19">
        <v>4000</v>
      </c>
      <c r="F47" s="20">
        <v>19924.04</v>
      </c>
      <c r="G47" s="21">
        <v>5.1999999999999998E-3</v>
      </c>
      <c r="H47" s="22">
        <v>6.0502E-2</v>
      </c>
      <c r="I47" s="23"/>
    </row>
    <row r="48" spans="1:9" ht="12.9" customHeight="1">
      <c r="A48" s="17" t="s">
        <v>1860</v>
      </c>
      <c r="B48" s="18" t="s">
        <v>1861</v>
      </c>
      <c r="C48" s="14" t="s">
        <v>1862</v>
      </c>
      <c r="D48" s="14" t="s">
        <v>770</v>
      </c>
      <c r="E48" s="19">
        <v>4000</v>
      </c>
      <c r="F48" s="20">
        <v>19825.62</v>
      </c>
      <c r="G48" s="21">
        <v>5.1999999999999998E-3</v>
      </c>
      <c r="H48" s="22">
        <v>6.2950000000000006E-2</v>
      </c>
      <c r="I48" s="23"/>
    </row>
    <row r="49" spans="1:9" ht="12.9" customHeight="1">
      <c r="A49" s="17" t="s">
        <v>763</v>
      </c>
      <c r="B49" s="18" t="s">
        <v>764</v>
      </c>
      <c r="C49" s="14" t="s">
        <v>765</v>
      </c>
      <c r="D49" s="14" t="s">
        <v>766</v>
      </c>
      <c r="E49" s="19">
        <v>4000</v>
      </c>
      <c r="F49" s="20">
        <v>19768.36</v>
      </c>
      <c r="G49" s="21">
        <v>5.1999999999999998E-3</v>
      </c>
      <c r="H49" s="22">
        <v>6.1100000000000002E-2</v>
      </c>
      <c r="I49" s="23"/>
    </row>
    <row r="50" spans="1:9" ht="12.9" customHeight="1">
      <c r="A50" s="17" t="s">
        <v>1863</v>
      </c>
      <c r="B50" s="18" t="s">
        <v>1864</v>
      </c>
      <c r="C50" s="14" t="s">
        <v>1865</v>
      </c>
      <c r="D50" s="14" t="s">
        <v>1583</v>
      </c>
      <c r="E50" s="19">
        <v>4000</v>
      </c>
      <c r="F50" s="20">
        <v>19738.96</v>
      </c>
      <c r="G50" s="21">
        <v>5.1999999999999998E-3</v>
      </c>
      <c r="H50" s="22">
        <v>6.1099500000000001E-2</v>
      </c>
      <c r="I50" s="23"/>
    </row>
    <row r="51" spans="1:9" ht="12.9" customHeight="1">
      <c r="A51" s="17" t="s">
        <v>1866</v>
      </c>
      <c r="B51" s="18" t="s">
        <v>1867</v>
      </c>
      <c r="C51" s="14" t="s">
        <v>1868</v>
      </c>
      <c r="D51" s="14" t="s">
        <v>766</v>
      </c>
      <c r="E51" s="19">
        <v>3000</v>
      </c>
      <c r="F51" s="20">
        <v>14930.13</v>
      </c>
      <c r="G51" s="21">
        <v>3.8999999999999998E-3</v>
      </c>
      <c r="H51" s="22">
        <v>6.0999999999999999E-2</v>
      </c>
      <c r="I51" s="23"/>
    </row>
    <row r="52" spans="1:9" ht="12.9" customHeight="1">
      <c r="A52" s="17" t="s">
        <v>1869</v>
      </c>
      <c r="B52" s="18" t="s">
        <v>1870</v>
      </c>
      <c r="C52" s="14" t="s">
        <v>1871</v>
      </c>
      <c r="D52" s="14" t="s">
        <v>766</v>
      </c>
      <c r="E52" s="19">
        <v>3000</v>
      </c>
      <c r="F52" s="20">
        <v>14841.69</v>
      </c>
      <c r="G52" s="21">
        <v>3.8999999999999998E-3</v>
      </c>
      <c r="H52" s="22">
        <v>6.1800000000000001E-2</v>
      </c>
      <c r="I52" s="23"/>
    </row>
    <row r="53" spans="1:9" ht="12.9" customHeight="1">
      <c r="A53" s="17" t="s">
        <v>1872</v>
      </c>
      <c r="B53" s="18" t="s">
        <v>1873</v>
      </c>
      <c r="C53" s="14" t="s">
        <v>1874</v>
      </c>
      <c r="D53" s="14" t="s">
        <v>770</v>
      </c>
      <c r="E53" s="19">
        <v>3000</v>
      </c>
      <c r="F53" s="20">
        <v>14840.49</v>
      </c>
      <c r="G53" s="21">
        <v>3.8999999999999998E-3</v>
      </c>
      <c r="H53" s="22">
        <v>6.1298999999999999E-2</v>
      </c>
      <c r="I53" s="23"/>
    </row>
    <row r="54" spans="1:9" ht="12.9" customHeight="1">
      <c r="A54" s="17" t="s">
        <v>1875</v>
      </c>
      <c r="B54" s="18" t="s">
        <v>1876</v>
      </c>
      <c r="C54" s="14" t="s">
        <v>1877</v>
      </c>
      <c r="D54" s="14" t="s">
        <v>770</v>
      </c>
      <c r="E54" s="19">
        <v>3000</v>
      </c>
      <c r="F54" s="20">
        <v>14792.01</v>
      </c>
      <c r="G54" s="21">
        <v>3.8999999999999998E-3</v>
      </c>
      <c r="H54" s="22">
        <v>6.1099000000000001E-2</v>
      </c>
      <c r="I54" s="23"/>
    </row>
    <row r="55" spans="1:9" ht="12.9" customHeight="1">
      <c r="A55" s="17" t="s">
        <v>1878</v>
      </c>
      <c r="B55" s="18" t="s">
        <v>1879</v>
      </c>
      <c r="C55" s="14" t="s">
        <v>1880</v>
      </c>
      <c r="D55" s="14" t="s">
        <v>770</v>
      </c>
      <c r="E55" s="19">
        <v>2500</v>
      </c>
      <c r="F55" s="20">
        <v>12488.5</v>
      </c>
      <c r="G55" s="21">
        <v>3.3E-3</v>
      </c>
      <c r="H55" s="22">
        <v>5.6004499999999999E-2</v>
      </c>
      <c r="I55" s="23"/>
    </row>
    <row r="56" spans="1:9" ht="12.9" customHeight="1">
      <c r="A56" s="17" t="s">
        <v>1881</v>
      </c>
      <c r="B56" s="18" t="s">
        <v>1882</v>
      </c>
      <c r="C56" s="14" t="s">
        <v>1883</v>
      </c>
      <c r="D56" s="14" t="s">
        <v>770</v>
      </c>
      <c r="E56" s="19">
        <v>2000</v>
      </c>
      <c r="F56" s="20">
        <v>9996.99</v>
      </c>
      <c r="G56" s="21">
        <v>2.5999999999999999E-3</v>
      </c>
      <c r="H56" s="22">
        <v>5.4948999999999998E-2</v>
      </c>
      <c r="I56" s="23"/>
    </row>
    <row r="57" spans="1:9" ht="12.9" customHeight="1">
      <c r="A57" s="17" t="s">
        <v>1884</v>
      </c>
      <c r="B57" s="18" t="s">
        <v>1885</v>
      </c>
      <c r="C57" s="14" t="s">
        <v>1886</v>
      </c>
      <c r="D57" s="14" t="s">
        <v>770</v>
      </c>
      <c r="E57" s="19">
        <v>2000</v>
      </c>
      <c r="F57" s="20">
        <v>9984.7099999999991</v>
      </c>
      <c r="G57" s="21">
        <v>2.5999999999999999E-3</v>
      </c>
      <c r="H57" s="22">
        <v>5.5905999999999997E-2</v>
      </c>
      <c r="I57" s="23"/>
    </row>
    <row r="58" spans="1:9" ht="12.9" customHeight="1">
      <c r="A58" s="17" t="s">
        <v>1887</v>
      </c>
      <c r="B58" s="18" t="s">
        <v>1888</v>
      </c>
      <c r="C58" s="14" t="s">
        <v>1889</v>
      </c>
      <c r="D58" s="14" t="s">
        <v>766</v>
      </c>
      <c r="E58" s="19">
        <v>2000</v>
      </c>
      <c r="F58" s="20">
        <v>9947.7000000000007</v>
      </c>
      <c r="G58" s="21">
        <v>2.5999999999999999E-3</v>
      </c>
      <c r="H58" s="22">
        <v>6.1903E-2</v>
      </c>
      <c r="I58" s="23"/>
    </row>
    <row r="59" spans="1:9" ht="12.9" customHeight="1">
      <c r="A59" s="17" t="s">
        <v>1890</v>
      </c>
      <c r="B59" s="18" t="s">
        <v>1891</v>
      </c>
      <c r="C59" s="14" t="s">
        <v>1892</v>
      </c>
      <c r="D59" s="14" t="s">
        <v>1485</v>
      </c>
      <c r="E59" s="19">
        <v>2000</v>
      </c>
      <c r="F59" s="20">
        <v>9870.75</v>
      </c>
      <c r="G59" s="21">
        <v>2.5999999999999999E-3</v>
      </c>
      <c r="H59" s="22">
        <v>6.0498999999999997E-2</v>
      </c>
      <c r="I59" s="23"/>
    </row>
    <row r="60" spans="1:9" ht="12.9" customHeight="1">
      <c r="A60" s="17" t="s">
        <v>1893</v>
      </c>
      <c r="B60" s="18" t="s">
        <v>1894</v>
      </c>
      <c r="C60" s="14" t="s">
        <v>1895</v>
      </c>
      <c r="D60" s="14" t="s">
        <v>770</v>
      </c>
      <c r="E60" s="19">
        <v>1500</v>
      </c>
      <c r="F60" s="20">
        <v>7471.5150000000003</v>
      </c>
      <c r="G60" s="21">
        <v>2E-3</v>
      </c>
      <c r="H60" s="22">
        <v>6.0499999999999998E-2</v>
      </c>
      <c r="I60" s="23"/>
    </row>
    <row r="61" spans="1:9" ht="12.9" customHeight="1">
      <c r="A61" s="17" t="s">
        <v>1896</v>
      </c>
      <c r="B61" s="18" t="s">
        <v>1897</v>
      </c>
      <c r="C61" s="14" t="s">
        <v>1898</v>
      </c>
      <c r="D61" s="14" t="s">
        <v>770</v>
      </c>
      <c r="E61" s="19">
        <v>1000</v>
      </c>
      <c r="F61" s="20">
        <v>4970.3549999999996</v>
      </c>
      <c r="G61" s="21">
        <v>1.2999999999999999E-3</v>
      </c>
      <c r="H61" s="22">
        <v>6.2199999999999998E-2</v>
      </c>
      <c r="I61" s="23"/>
    </row>
    <row r="62" spans="1:9" ht="12.9" customHeight="1">
      <c r="A62" s="17" t="s">
        <v>1899</v>
      </c>
      <c r="B62" s="18" t="s">
        <v>1900</v>
      </c>
      <c r="C62" s="14" t="s">
        <v>1901</v>
      </c>
      <c r="D62" s="14" t="s">
        <v>770</v>
      </c>
      <c r="E62" s="19">
        <v>1000</v>
      </c>
      <c r="F62" s="20">
        <v>4958.76</v>
      </c>
      <c r="G62" s="21">
        <v>1.2999999999999999E-3</v>
      </c>
      <c r="H62" s="22">
        <v>6.1949999999999998E-2</v>
      </c>
      <c r="I62" s="23"/>
    </row>
    <row r="63" spans="1:9" ht="12.9" customHeight="1">
      <c r="A63" s="17" t="s">
        <v>1902</v>
      </c>
      <c r="B63" s="18" t="s">
        <v>1903</v>
      </c>
      <c r="C63" s="14" t="s">
        <v>1904</v>
      </c>
      <c r="D63" s="14" t="s">
        <v>766</v>
      </c>
      <c r="E63" s="19">
        <v>1000</v>
      </c>
      <c r="F63" s="20">
        <v>4956.29</v>
      </c>
      <c r="G63" s="21">
        <v>1.2999999999999999E-3</v>
      </c>
      <c r="H63" s="22">
        <v>6.1903E-2</v>
      </c>
      <c r="I63" s="23"/>
    </row>
    <row r="64" spans="1:9" ht="12.9" customHeight="1">
      <c r="A64" s="17" t="s">
        <v>1905</v>
      </c>
      <c r="B64" s="18" t="s">
        <v>1906</v>
      </c>
      <c r="C64" s="14" t="s">
        <v>1907</v>
      </c>
      <c r="D64" s="14" t="s">
        <v>770</v>
      </c>
      <c r="E64" s="19">
        <v>500</v>
      </c>
      <c r="F64" s="20">
        <v>2482.15</v>
      </c>
      <c r="G64" s="21">
        <v>6.9999999999999999E-4</v>
      </c>
      <c r="H64" s="22">
        <v>6.2501000000000001E-2</v>
      </c>
      <c r="I64" s="23"/>
    </row>
    <row r="65" spans="1:9" ht="12.9" customHeight="1">
      <c r="A65" s="17" t="s">
        <v>1908</v>
      </c>
      <c r="B65" s="18" t="s">
        <v>1909</v>
      </c>
      <c r="C65" s="14" t="s">
        <v>1910</v>
      </c>
      <c r="D65" s="14" t="s">
        <v>770</v>
      </c>
      <c r="E65" s="19">
        <v>100</v>
      </c>
      <c r="F65" s="20">
        <v>493.9495</v>
      </c>
      <c r="G65" s="21">
        <v>1E-4</v>
      </c>
      <c r="H65" s="22">
        <v>6.1248999999999998E-2</v>
      </c>
      <c r="I65" s="23"/>
    </row>
    <row r="66" spans="1:9" ht="12.9" customHeight="1">
      <c r="A66" s="5"/>
      <c r="B66" s="13" t="s">
        <v>88</v>
      </c>
      <c r="C66" s="14"/>
      <c r="D66" s="14"/>
      <c r="E66" s="14"/>
      <c r="F66" s="24">
        <v>1455808.7254999999</v>
      </c>
      <c r="G66" s="25">
        <v>0.38129999999999997</v>
      </c>
      <c r="H66" s="26"/>
      <c r="I66" s="27"/>
    </row>
    <row r="67" spans="1:9" ht="12.9" customHeight="1">
      <c r="A67" s="5"/>
      <c r="B67" s="13" t="s">
        <v>1481</v>
      </c>
      <c r="C67" s="14"/>
      <c r="D67" s="14"/>
      <c r="E67" s="14"/>
      <c r="F67" s="5"/>
      <c r="G67" s="15"/>
      <c r="H67" s="15"/>
      <c r="I67" s="16"/>
    </row>
    <row r="68" spans="1:9" ht="12.9" customHeight="1">
      <c r="A68" s="17" t="s">
        <v>1911</v>
      </c>
      <c r="B68" s="18" t="s">
        <v>1912</v>
      </c>
      <c r="C68" s="14" t="s">
        <v>1913</v>
      </c>
      <c r="D68" s="14" t="s">
        <v>770</v>
      </c>
      <c r="E68" s="19">
        <v>20000</v>
      </c>
      <c r="F68" s="20">
        <v>99019</v>
      </c>
      <c r="G68" s="21">
        <v>2.5899999999999999E-2</v>
      </c>
      <c r="H68" s="22">
        <v>6.2350000000000003E-2</v>
      </c>
      <c r="I68" s="23"/>
    </row>
    <row r="69" spans="1:9" ht="12.9" customHeight="1">
      <c r="A69" s="17" t="s">
        <v>1914</v>
      </c>
      <c r="B69" s="18" t="s">
        <v>1915</v>
      </c>
      <c r="C69" s="14" t="s">
        <v>1916</v>
      </c>
      <c r="D69" s="14" t="s">
        <v>770</v>
      </c>
      <c r="E69" s="19">
        <v>20000</v>
      </c>
      <c r="F69" s="20">
        <v>99007.8</v>
      </c>
      <c r="G69" s="21">
        <v>2.5899999999999999E-2</v>
      </c>
      <c r="H69" s="22">
        <v>6.2E-2</v>
      </c>
      <c r="I69" s="23"/>
    </row>
    <row r="70" spans="1:9" ht="12.9" customHeight="1">
      <c r="A70" s="17" t="s">
        <v>1917</v>
      </c>
      <c r="B70" s="18" t="s">
        <v>1918</v>
      </c>
      <c r="C70" s="14" t="s">
        <v>1919</v>
      </c>
      <c r="D70" s="14" t="s">
        <v>770</v>
      </c>
      <c r="E70" s="19">
        <v>20000</v>
      </c>
      <c r="F70" s="20">
        <v>98825.9</v>
      </c>
      <c r="G70" s="21">
        <v>2.5899999999999999E-2</v>
      </c>
      <c r="H70" s="22">
        <v>6.1950999999999999E-2</v>
      </c>
      <c r="I70" s="23"/>
    </row>
    <row r="71" spans="1:9" ht="12.9" customHeight="1">
      <c r="A71" s="17" t="s">
        <v>1920</v>
      </c>
      <c r="B71" s="18" t="s">
        <v>1921</v>
      </c>
      <c r="C71" s="14" t="s">
        <v>1922</v>
      </c>
      <c r="D71" s="14" t="s">
        <v>770</v>
      </c>
      <c r="E71" s="19">
        <v>16500</v>
      </c>
      <c r="F71" s="20">
        <v>82397.947499999995</v>
      </c>
      <c r="G71" s="21">
        <v>2.1600000000000001E-2</v>
      </c>
      <c r="H71" s="22">
        <v>5.6500000000000002E-2</v>
      </c>
      <c r="I71" s="23"/>
    </row>
    <row r="72" spans="1:9" ht="12.9" customHeight="1">
      <c r="A72" s="17" t="s">
        <v>1923</v>
      </c>
      <c r="B72" s="18" t="s">
        <v>1924</v>
      </c>
      <c r="C72" s="14" t="s">
        <v>1925</v>
      </c>
      <c r="D72" s="14" t="s">
        <v>770</v>
      </c>
      <c r="E72" s="19">
        <v>15000</v>
      </c>
      <c r="F72" s="20">
        <v>74101.05</v>
      </c>
      <c r="G72" s="21">
        <v>1.9400000000000001E-2</v>
      </c>
      <c r="H72" s="22">
        <v>6.1498999999999998E-2</v>
      </c>
      <c r="I72" s="23"/>
    </row>
    <row r="73" spans="1:9" ht="12.9" customHeight="1">
      <c r="A73" s="17" t="s">
        <v>1926</v>
      </c>
      <c r="B73" s="18" t="s">
        <v>1927</v>
      </c>
      <c r="C73" s="14" t="s">
        <v>1928</v>
      </c>
      <c r="D73" s="14" t="s">
        <v>770</v>
      </c>
      <c r="E73" s="19">
        <v>14000</v>
      </c>
      <c r="F73" s="20">
        <v>68920.95</v>
      </c>
      <c r="G73" s="21">
        <v>1.8100000000000002E-2</v>
      </c>
      <c r="H73" s="22">
        <v>6.6450999999999996E-2</v>
      </c>
      <c r="I73" s="23"/>
    </row>
    <row r="74" spans="1:9" ht="12.9" customHeight="1">
      <c r="A74" s="17" t="s">
        <v>1929</v>
      </c>
      <c r="B74" s="18" t="s">
        <v>1930</v>
      </c>
      <c r="C74" s="14" t="s">
        <v>1931</v>
      </c>
      <c r="D74" s="14" t="s">
        <v>1485</v>
      </c>
      <c r="E74" s="19">
        <v>11000</v>
      </c>
      <c r="F74" s="20">
        <v>55000</v>
      </c>
      <c r="G74" s="21">
        <v>1.44E-2</v>
      </c>
      <c r="H74" s="22">
        <v>5.4600000000000003E-2</v>
      </c>
      <c r="I74" s="23"/>
    </row>
    <row r="75" spans="1:9" ht="12.9" customHeight="1">
      <c r="A75" s="17" t="s">
        <v>1932</v>
      </c>
      <c r="B75" s="18" t="s">
        <v>1933</v>
      </c>
      <c r="C75" s="14" t="s">
        <v>1934</v>
      </c>
      <c r="D75" s="14" t="s">
        <v>770</v>
      </c>
      <c r="E75" s="19">
        <v>10000</v>
      </c>
      <c r="F75" s="20">
        <v>49515.95</v>
      </c>
      <c r="G75" s="21">
        <v>1.2999999999999999E-2</v>
      </c>
      <c r="H75" s="22">
        <v>6.2602000000000005E-2</v>
      </c>
      <c r="I75" s="23"/>
    </row>
    <row r="76" spans="1:9" ht="12.9" customHeight="1">
      <c r="A76" s="17" t="s">
        <v>1935</v>
      </c>
      <c r="B76" s="18" t="s">
        <v>1936</v>
      </c>
      <c r="C76" s="14" t="s">
        <v>1937</v>
      </c>
      <c r="D76" s="14" t="s">
        <v>770</v>
      </c>
      <c r="E76" s="19">
        <v>10000</v>
      </c>
      <c r="F76" s="20">
        <v>49471.8</v>
      </c>
      <c r="G76" s="21">
        <v>1.2999999999999999E-2</v>
      </c>
      <c r="H76" s="22">
        <v>6.6050999999999999E-2</v>
      </c>
      <c r="I76" s="23"/>
    </row>
    <row r="77" spans="1:9" ht="12.9" customHeight="1">
      <c r="A77" s="17" t="s">
        <v>1938</v>
      </c>
      <c r="B77" s="18" t="s">
        <v>1939</v>
      </c>
      <c r="C77" s="14" t="s">
        <v>1940</v>
      </c>
      <c r="D77" s="14" t="s">
        <v>1485</v>
      </c>
      <c r="E77" s="19">
        <v>10000</v>
      </c>
      <c r="F77" s="20">
        <v>49308.25</v>
      </c>
      <c r="G77" s="21">
        <v>1.29E-2</v>
      </c>
      <c r="H77" s="22">
        <v>6.6500000000000004E-2</v>
      </c>
      <c r="I77" s="23"/>
    </row>
    <row r="78" spans="1:9" ht="12.9" customHeight="1">
      <c r="A78" s="17" t="s">
        <v>1941</v>
      </c>
      <c r="B78" s="18" t="s">
        <v>1942</v>
      </c>
      <c r="C78" s="14" t="s">
        <v>1943</v>
      </c>
      <c r="D78" s="14" t="s">
        <v>770</v>
      </c>
      <c r="E78" s="19">
        <v>10000</v>
      </c>
      <c r="F78" s="20">
        <v>49296.15</v>
      </c>
      <c r="G78" s="21">
        <v>1.29E-2</v>
      </c>
      <c r="H78" s="22">
        <v>6.0600000000000001E-2</v>
      </c>
      <c r="I78" s="23"/>
    </row>
    <row r="79" spans="1:9" ht="12.9" customHeight="1">
      <c r="A79" s="17" t="s">
        <v>1944</v>
      </c>
      <c r="B79" s="18" t="s">
        <v>1945</v>
      </c>
      <c r="C79" s="14" t="s">
        <v>1946</v>
      </c>
      <c r="D79" s="14" t="s">
        <v>770</v>
      </c>
      <c r="E79" s="19">
        <v>10000</v>
      </c>
      <c r="F79" s="20">
        <v>49290.05</v>
      </c>
      <c r="G79" s="21">
        <v>1.29E-2</v>
      </c>
      <c r="H79" s="22">
        <v>6.1850000000000002E-2</v>
      </c>
      <c r="I79" s="23"/>
    </row>
    <row r="80" spans="1:9" ht="12.9" customHeight="1">
      <c r="A80" s="17" t="s">
        <v>1947</v>
      </c>
      <c r="B80" s="18" t="s">
        <v>1948</v>
      </c>
      <c r="C80" s="14" t="s">
        <v>1949</v>
      </c>
      <c r="D80" s="14" t="s">
        <v>770</v>
      </c>
      <c r="E80" s="19">
        <v>10000</v>
      </c>
      <c r="F80" s="20">
        <v>49285.2</v>
      </c>
      <c r="G80" s="21">
        <v>1.29E-2</v>
      </c>
      <c r="H80" s="22">
        <v>6.0850000000000001E-2</v>
      </c>
      <c r="I80" s="23"/>
    </row>
    <row r="81" spans="1:9" ht="12.9" customHeight="1">
      <c r="A81" s="17" t="s">
        <v>1950</v>
      </c>
      <c r="B81" s="18" t="s">
        <v>1951</v>
      </c>
      <c r="C81" s="14" t="s">
        <v>1952</v>
      </c>
      <c r="D81" s="14" t="s">
        <v>1485</v>
      </c>
      <c r="E81" s="19">
        <v>10000</v>
      </c>
      <c r="F81" s="20">
        <v>49231.4</v>
      </c>
      <c r="G81" s="21">
        <v>1.29E-2</v>
      </c>
      <c r="H81" s="22">
        <v>6.5500000000000003E-2</v>
      </c>
      <c r="I81" s="23"/>
    </row>
    <row r="82" spans="1:9" ht="12.9" customHeight="1">
      <c r="A82" s="17" t="s">
        <v>1953</v>
      </c>
      <c r="B82" s="18" t="s">
        <v>1954</v>
      </c>
      <c r="C82" s="14" t="s">
        <v>1955</v>
      </c>
      <c r="D82" s="14" t="s">
        <v>1583</v>
      </c>
      <c r="E82" s="19">
        <v>10000</v>
      </c>
      <c r="F82" s="20">
        <v>49228.65</v>
      </c>
      <c r="G82" s="21">
        <v>1.29E-2</v>
      </c>
      <c r="H82" s="22">
        <v>6.6499500000000003E-2</v>
      </c>
      <c r="I82" s="23"/>
    </row>
    <row r="83" spans="1:9" ht="12.9" customHeight="1">
      <c r="A83" s="17" t="s">
        <v>1956</v>
      </c>
      <c r="B83" s="18" t="s">
        <v>1957</v>
      </c>
      <c r="C83" s="14" t="s">
        <v>1958</v>
      </c>
      <c r="D83" s="14" t="s">
        <v>770</v>
      </c>
      <c r="E83" s="19">
        <v>9000</v>
      </c>
      <c r="F83" s="20">
        <v>44598.555</v>
      </c>
      <c r="G83" s="21">
        <v>1.17E-2</v>
      </c>
      <c r="H83" s="22">
        <v>6.7050999999999999E-2</v>
      </c>
      <c r="I83" s="23"/>
    </row>
    <row r="84" spans="1:9" ht="12.9" customHeight="1">
      <c r="A84" s="17" t="s">
        <v>1959</v>
      </c>
      <c r="B84" s="18" t="s">
        <v>1960</v>
      </c>
      <c r="C84" s="14" t="s">
        <v>1961</v>
      </c>
      <c r="D84" s="14" t="s">
        <v>770</v>
      </c>
      <c r="E84" s="19">
        <v>9000</v>
      </c>
      <c r="F84" s="20">
        <v>44411.49</v>
      </c>
      <c r="G84" s="21">
        <v>1.1599999999999999E-2</v>
      </c>
      <c r="H84" s="22">
        <v>6.9098999999999994E-2</v>
      </c>
      <c r="I84" s="23"/>
    </row>
    <row r="85" spans="1:9" ht="12.9" customHeight="1">
      <c r="A85" s="17" t="s">
        <v>1962</v>
      </c>
      <c r="B85" s="18" t="s">
        <v>1963</v>
      </c>
      <c r="C85" s="14" t="s">
        <v>1964</v>
      </c>
      <c r="D85" s="14" t="s">
        <v>1485</v>
      </c>
      <c r="E85" s="19">
        <v>8000</v>
      </c>
      <c r="F85" s="20">
        <v>39670.76</v>
      </c>
      <c r="G85" s="21">
        <v>1.04E-2</v>
      </c>
      <c r="H85" s="22">
        <v>7.0447999999999997E-2</v>
      </c>
      <c r="I85" s="23"/>
    </row>
    <row r="86" spans="1:9" ht="12.9" customHeight="1">
      <c r="A86" s="17" t="s">
        <v>1965</v>
      </c>
      <c r="B86" s="18" t="s">
        <v>1966</v>
      </c>
      <c r="C86" s="14" t="s">
        <v>1967</v>
      </c>
      <c r="D86" s="14" t="s">
        <v>1485</v>
      </c>
      <c r="E86" s="19">
        <v>8000</v>
      </c>
      <c r="F86" s="20">
        <v>39470.559999999998</v>
      </c>
      <c r="G86" s="21">
        <v>1.03E-2</v>
      </c>
      <c r="H86" s="22">
        <v>6.1199000000000003E-2</v>
      </c>
      <c r="I86" s="23"/>
    </row>
    <row r="87" spans="1:9" ht="12.9" customHeight="1">
      <c r="A87" s="17" t="s">
        <v>1968</v>
      </c>
      <c r="B87" s="18" t="s">
        <v>1969</v>
      </c>
      <c r="C87" s="14" t="s">
        <v>1970</v>
      </c>
      <c r="D87" s="14" t="s">
        <v>1485</v>
      </c>
      <c r="E87" s="19">
        <v>7000</v>
      </c>
      <c r="F87" s="20">
        <v>34453.894999999997</v>
      </c>
      <c r="G87" s="21">
        <v>8.9999999999999993E-3</v>
      </c>
      <c r="H87" s="22">
        <v>6.6500000000000004E-2</v>
      </c>
      <c r="I87" s="23"/>
    </row>
    <row r="88" spans="1:9" ht="12.9" customHeight="1">
      <c r="A88" s="17" t="s">
        <v>1971</v>
      </c>
      <c r="B88" s="18" t="s">
        <v>1972</v>
      </c>
      <c r="C88" s="14" t="s">
        <v>1973</v>
      </c>
      <c r="D88" s="14" t="s">
        <v>1583</v>
      </c>
      <c r="E88" s="19">
        <v>6000</v>
      </c>
      <c r="F88" s="20">
        <v>29693.64</v>
      </c>
      <c r="G88" s="21">
        <v>7.7999999999999996E-3</v>
      </c>
      <c r="H88" s="22">
        <v>6.7250000000000004E-2</v>
      </c>
      <c r="I88" s="23"/>
    </row>
    <row r="89" spans="1:9" ht="12.9" customHeight="1">
      <c r="A89" s="17" t="s">
        <v>1974</v>
      </c>
      <c r="B89" s="18" t="s">
        <v>1975</v>
      </c>
      <c r="C89" s="14" t="s">
        <v>1976</v>
      </c>
      <c r="D89" s="14" t="s">
        <v>770</v>
      </c>
      <c r="E89" s="19">
        <v>6000</v>
      </c>
      <c r="F89" s="20">
        <v>29678.34</v>
      </c>
      <c r="G89" s="21">
        <v>7.7999999999999996E-3</v>
      </c>
      <c r="H89" s="22">
        <v>6.7049999999999998E-2</v>
      </c>
      <c r="I89" s="23"/>
    </row>
    <row r="90" spans="1:9" ht="12.9" customHeight="1">
      <c r="A90" s="17" t="s">
        <v>1977</v>
      </c>
      <c r="B90" s="18" t="s">
        <v>1978</v>
      </c>
      <c r="C90" s="14" t="s">
        <v>1979</v>
      </c>
      <c r="D90" s="14" t="s">
        <v>770</v>
      </c>
      <c r="E90" s="19">
        <v>5000</v>
      </c>
      <c r="F90" s="20">
        <v>24872.325000000001</v>
      </c>
      <c r="G90" s="21">
        <v>6.4999999999999997E-3</v>
      </c>
      <c r="H90" s="22">
        <v>6.2454000000000003E-2</v>
      </c>
      <c r="I90" s="23"/>
    </row>
    <row r="91" spans="1:9" ht="12.9" customHeight="1">
      <c r="A91" s="17" t="s">
        <v>1980</v>
      </c>
      <c r="B91" s="18" t="s">
        <v>1981</v>
      </c>
      <c r="C91" s="14" t="s">
        <v>1982</v>
      </c>
      <c r="D91" s="14" t="s">
        <v>770</v>
      </c>
      <c r="E91" s="19">
        <v>5000</v>
      </c>
      <c r="F91" s="20">
        <v>24740.525000000001</v>
      </c>
      <c r="G91" s="21">
        <v>6.4999999999999997E-3</v>
      </c>
      <c r="H91" s="22">
        <v>6.6000000000000003E-2</v>
      </c>
      <c r="I91" s="23"/>
    </row>
    <row r="92" spans="1:9" ht="12.9" customHeight="1">
      <c r="A92" s="17" t="s">
        <v>1983</v>
      </c>
      <c r="B92" s="18" t="s">
        <v>1984</v>
      </c>
      <c r="C92" s="14" t="s">
        <v>1985</v>
      </c>
      <c r="D92" s="14" t="s">
        <v>1583</v>
      </c>
      <c r="E92" s="19">
        <v>5000</v>
      </c>
      <c r="F92" s="20">
        <v>24714.2</v>
      </c>
      <c r="G92" s="21">
        <v>6.4999999999999997E-3</v>
      </c>
      <c r="H92" s="22">
        <v>6.6999000000000003E-2</v>
      </c>
      <c r="I92" s="23"/>
    </row>
    <row r="93" spans="1:9" ht="12.9" customHeight="1">
      <c r="A93" s="17" t="s">
        <v>1986</v>
      </c>
      <c r="B93" s="18" t="s">
        <v>1987</v>
      </c>
      <c r="C93" s="14" t="s">
        <v>1988</v>
      </c>
      <c r="D93" s="14" t="s">
        <v>770</v>
      </c>
      <c r="E93" s="19">
        <v>5000</v>
      </c>
      <c r="F93" s="20">
        <v>24624.275000000001</v>
      </c>
      <c r="G93" s="21">
        <v>6.4000000000000003E-3</v>
      </c>
      <c r="H93" s="22">
        <v>6.6299999999999998E-2</v>
      </c>
      <c r="I93" s="23"/>
    </row>
    <row r="94" spans="1:9" ht="12.9" customHeight="1">
      <c r="A94" s="17" t="s">
        <v>1989</v>
      </c>
      <c r="B94" s="18" t="s">
        <v>1990</v>
      </c>
      <c r="C94" s="14" t="s">
        <v>1991</v>
      </c>
      <c r="D94" s="14" t="s">
        <v>770</v>
      </c>
      <c r="E94" s="19">
        <v>5000</v>
      </c>
      <c r="F94" s="20">
        <v>24550.974999999999</v>
      </c>
      <c r="G94" s="21">
        <v>6.4000000000000003E-3</v>
      </c>
      <c r="H94" s="22">
        <v>8.4500000000000006E-2</v>
      </c>
      <c r="I94" s="23"/>
    </row>
    <row r="95" spans="1:9" ht="12.9" customHeight="1">
      <c r="A95" s="17" t="s">
        <v>1992</v>
      </c>
      <c r="B95" s="18" t="s">
        <v>1993</v>
      </c>
      <c r="C95" s="14" t="s">
        <v>1994</v>
      </c>
      <c r="D95" s="14" t="s">
        <v>770</v>
      </c>
      <c r="E95" s="19">
        <v>4000</v>
      </c>
      <c r="F95" s="20">
        <v>19993.38</v>
      </c>
      <c r="G95" s="21">
        <v>5.1999999999999998E-3</v>
      </c>
      <c r="H95" s="22">
        <v>6.0519000000000003E-2</v>
      </c>
      <c r="I95" s="23"/>
    </row>
    <row r="96" spans="1:9" ht="12.9" customHeight="1">
      <c r="A96" s="17" t="s">
        <v>1995</v>
      </c>
      <c r="B96" s="18" t="s">
        <v>1996</v>
      </c>
      <c r="C96" s="14" t="s">
        <v>1997</v>
      </c>
      <c r="D96" s="14" t="s">
        <v>1485</v>
      </c>
      <c r="E96" s="19">
        <v>4000</v>
      </c>
      <c r="F96" s="20">
        <v>19968.240000000002</v>
      </c>
      <c r="G96" s="21">
        <v>5.1999999999999998E-3</v>
      </c>
      <c r="H96" s="22">
        <v>5.8054000000000001E-2</v>
      </c>
      <c r="I96" s="23"/>
    </row>
    <row r="97" spans="1:9" ht="12.9" customHeight="1">
      <c r="A97" s="17" t="s">
        <v>1998</v>
      </c>
      <c r="B97" s="18" t="s">
        <v>1999</v>
      </c>
      <c r="C97" s="14" t="s">
        <v>2000</v>
      </c>
      <c r="D97" s="14" t="s">
        <v>770</v>
      </c>
      <c r="E97" s="19">
        <v>4000</v>
      </c>
      <c r="F97" s="20">
        <v>19685.52</v>
      </c>
      <c r="G97" s="21">
        <v>5.1999999999999998E-3</v>
      </c>
      <c r="H97" s="22">
        <v>6.8599999999999994E-2</v>
      </c>
      <c r="I97" s="23"/>
    </row>
    <row r="98" spans="1:9" ht="12.9" customHeight="1">
      <c r="A98" s="17" t="s">
        <v>2001</v>
      </c>
      <c r="B98" s="18" t="s">
        <v>2002</v>
      </c>
      <c r="C98" s="14" t="s">
        <v>2003</v>
      </c>
      <c r="D98" s="14" t="s">
        <v>770</v>
      </c>
      <c r="E98" s="19">
        <v>3500</v>
      </c>
      <c r="F98" s="20">
        <v>17494.154999999999</v>
      </c>
      <c r="G98" s="21">
        <v>4.5999999999999999E-3</v>
      </c>
      <c r="H98" s="22">
        <v>6.0985999999999999E-2</v>
      </c>
      <c r="I98" s="23"/>
    </row>
    <row r="99" spans="1:9" ht="12.9" customHeight="1">
      <c r="A99" s="17" t="s">
        <v>2004</v>
      </c>
      <c r="B99" s="18" t="s">
        <v>2005</v>
      </c>
      <c r="C99" s="14" t="s">
        <v>2006</v>
      </c>
      <c r="D99" s="14" t="s">
        <v>770</v>
      </c>
      <c r="E99" s="19">
        <v>3500</v>
      </c>
      <c r="F99" s="20">
        <v>17204.232499999998</v>
      </c>
      <c r="G99" s="21">
        <v>4.4999999999999997E-3</v>
      </c>
      <c r="H99" s="22">
        <v>7.5601000000000002E-2</v>
      </c>
      <c r="I99" s="23"/>
    </row>
    <row r="100" spans="1:9" ht="12.9" customHeight="1">
      <c r="A100" s="17" t="s">
        <v>2007</v>
      </c>
      <c r="B100" s="18" t="s">
        <v>2008</v>
      </c>
      <c r="C100" s="14" t="s">
        <v>2009</v>
      </c>
      <c r="D100" s="14" t="s">
        <v>770</v>
      </c>
      <c r="E100" s="19">
        <v>3000</v>
      </c>
      <c r="F100" s="20">
        <v>14853.3</v>
      </c>
      <c r="G100" s="21">
        <v>3.8999999999999998E-3</v>
      </c>
      <c r="H100" s="22">
        <v>6.3247999999999999E-2</v>
      </c>
      <c r="I100" s="23"/>
    </row>
    <row r="101" spans="1:9" ht="12.9" customHeight="1">
      <c r="A101" s="17" t="s">
        <v>2010</v>
      </c>
      <c r="B101" s="18" t="s">
        <v>2011</v>
      </c>
      <c r="C101" s="14" t="s">
        <v>2012</v>
      </c>
      <c r="D101" s="14" t="s">
        <v>770</v>
      </c>
      <c r="E101" s="19">
        <v>3000</v>
      </c>
      <c r="F101" s="20">
        <v>14845.815000000001</v>
      </c>
      <c r="G101" s="21">
        <v>3.8999999999999998E-3</v>
      </c>
      <c r="H101" s="22">
        <v>7.2900000000000006E-2</v>
      </c>
      <c r="I101" s="23"/>
    </row>
    <row r="102" spans="1:9" ht="12.9" customHeight="1">
      <c r="A102" s="17" t="s">
        <v>2013</v>
      </c>
      <c r="B102" s="18" t="s">
        <v>2014</v>
      </c>
      <c r="C102" s="14" t="s">
        <v>2015</v>
      </c>
      <c r="D102" s="14" t="s">
        <v>770</v>
      </c>
      <c r="E102" s="19">
        <v>3000</v>
      </c>
      <c r="F102" s="20">
        <v>14839.29</v>
      </c>
      <c r="G102" s="21">
        <v>3.8999999999999998E-3</v>
      </c>
      <c r="H102" s="22">
        <v>6.9349999999999995E-2</v>
      </c>
      <c r="I102" s="23"/>
    </row>
    <row r="103" spans="1:9" ht="12.9" customHeight="1">
      <c r="A103" s="17" t="s">
        <v>2016</v>
      </c>
      <c r="B103" s="18" t="s">
        <v>2017</v>
      </c>
      <c r="C103" s="14" t="s">
        <v>2018</v>
      </c>
      <c r="D103" s="14" t="s">
        <v>770</v>
      </c>
      <c r="E103" s="19">
        <v>3000</v>
      </c>
      <c r="F103" s="20">
        <v>14820.014999999999</v>
      </c>
      <c r="G103" s="21">
        <v>3.8999999999999998E-3</v>
      </c>
      <c r="H103" s="22">
        <v>8.5250000000000006E-2</v>
      </c>
      <c r="I103" s="23"/>
    </row>
    <row r="104" spans="1:9" ht="12.9" customHeight="1">
      <c r="A104" s="17" t="s">
        <v>2019</v>
      </c>
      <c r="B104" s="18" t="s">
        <v>2020</v>
      </c>
      <c r="C104" s="14" t="s">
        <v>2021</v>
      </c>
      <c r="D104" s="14" t="s">
        <v>770</v>
      </c>
      <c r="E104" s="19">
        <v>3000</v>
      </c>
      <c r="F104" s="20">
        <v>14787.315000000001</v>
      </c>
      <c r="G104" s="21">
        <v>3.8999999999999998E-3</v>
      </c>
      <c r="H104" s="22">
        <v>6.3250000000000001E-2</v>
      </c>
      <c r="I104" s="23"/>
    </row>
    <row r="105" spans="1:9" ht="12.9" customHeight="1">
      <c r="A105" s="17" t="s">
        <v>2022</v>
      </c>
      <c r="B105" s="18" t="s">
        <v>2023</v>
      </c>
      <c r="C105" s="14" t="s">
        <v>2024</v>
      </c>
      <c r="D105" s="14" t="s">
        <v>770</v>
      </c>
      <c r="E105" s="19">
        <v>2500</v>
      </c>
      <c r="F105" s="20">
        <v>12500</v>
      </c>
      <c r="G105" s="21">
        <v>3.3E-3</v>
      </c>
      <c r="H105" s="22">
        <v>5.4028E-2</v>
      </c>
      <c r="I105" s="23"/>
    </row>
    <row r="106" spans="1:9" ht="12.9" customHeight="1">
      <c r="A106" s="17" t="s">
        <v>2025</v>
      </c>
      <c r="B106" s="18" t="s">
        <v>2026</v>
      </c>
      <c r="C106" s="14" t="s">
        <v>2027</v>
      </c>
      <c r="D106" s="14" t="s">
        <v>1485</v>
      </c>
      <c r="E106" s="19">
        <v>2500</v>
      </c>
      <c r="F106" s="20">
        <v>12351.7125</v>
      </c>
      <c r="G106" s="21">
        <v>3.2000000000000002E-3</v>
      </c>
      <c r="H106" s="22">
        <v>6.2600000000000003E-2</v>
      </c>
      <c r="I106" s="23"/>
    </row>
    <row r="107" spans="1:9" ht="12.9" customHeight="1">
      <c r="A107" s="17" t="s">
        <v>2028</v>
      </c>
      <c r="B107" s="18" t="s">
        <v>2029</v>
      </c>
      <c r="C107" s="14" t="s">
        <v>2030</v>
      </c>
      <c r="D107" s="14" t="s">
        <v>770</v>
      </c>
      <c r="E107" s="19">
        <v>2000</v>
      </c>
      <c r="F107" s="20">
        <v>10000</v>
      </c>
      <c r="G107" s="21">
        <v>2.5999999999999999E-3</v>
      </c>
      <c r="H107" s="22">
        <v>5.3061999999999998E-2</v>
      </c>
      <c r="I107" s="23"/>
    </row>
    <row r="108" spans="1:9" ht="12.9" customHeight="1">
      <c r="A108" s="17" t="s">
        <v>2031</v>
      </c>
      <c r="B108" s="18" t="s">
        <v>2032</v>
      </c>
      <c r="C108" s="14" t="s">
        <v>2033</v>
      </c>
      <c r="D108" s="14" t="s">
        <v>770</v>
      </c>
      <c r="E108" s="19">
        <v>2000</v>
      </c>
      <c r="F108" s="20">
        <v>9988.27</v>
      </c>
      <c r="G108" s="21">
        <v>2.5999999999999999E-3</v>
      </c>
      <c r="H108" s="22">
        <v>6.1249999999999999E-2</v>
      </c>
      <c r="I108" s="23"/>
    </row>
    <row r="109" spans="1:9" ht="12.9" customHeight="1">
      <c r="A109" s="17" t="s">
        <v>2034</v>
      </c>
      <c r="B109" s="18" t="s">
        <v>2035</v>
      </c>
      <c r="C109" s="14" t="s">
        <v>2036</v>
      </c>
      <c r="D109" s="14" t="s">
        <v>770</v>
      </c>
      <c r="E109" s="19">
        <v>2000</v>
      </c>
      <c r="F109" s="20">
        <v>9967.4599999999991</v>
      </c>
      <c r="G109" s="21">
        <v>2.5999999999999999E-3</v>
      </c>
      <c r="H109" s="22">
        <v>7.9438999999999996E-2</v>
      </c>
      <c r="I109" s="23"/>
    </row>
    <row r="110" spans="1:9" ht="12.9" customHeight="1">
      <c r="A110" s="17" t="s">
        <v>2037</v>
      </c>
      <c r="B110" s="18" t="s">
        <v>2038</v>
      </c>
      <c r="C110" s="14" t="s">
        <v>2039</v>
      </c>
      <c r="D110" s="14" t="s">
        <v>770</v>
      </c>
      <c r="E110" s="19">
        <v>2000</v>
      </c>
      <c r="F110" s="20">
        <v>9890.17</v>
      </c>
      <c r="G110" s="21">
        <v>2.5999999999999999E-3</v>
      </c>
      <c r="H110" s="22">
        <v>6.8699999999999997E-2</v>
      </c>
      <c r="I110" s="23"/>
    </row>
    <row r="111" spans="1:9" ht="12.9" customHeight="1">
      <c r="A111" s="17" t="s">
        <v>2040</v>
      </c>
      <c r="B111" s="18" t="s">
        <v>2041</v>
      </c>
      <c r="C111" s="14" t="s">
        <v>2042</v>
      </c>
      <c r="D111" s="14" t="s">
        <v>770</v>
      </c>
      <c r="E111" s="19">
        <v>2000</v>
      </c>
      <c r="F111" s="20">
        <v>9863.83</v>
      </c>
      <c r="G111" s="21">
        <v>2.5999999999999999E-3</v>
      </c>
      <c r="H111" s="22">
        <v>6.6299999999999998E-2</v>
      </c>
      <c r="I111" s="23"/>
    </row>
    <row r="112" spans="1:9" ht="12.9" customHeight="1">
      <c r="A112" s="17" t="s">
        <v>2043</v>
      </c>
      <c r="B112" s="18" t="s">
        <v>2044</v>
      </c>
      <c r="C112" s="14" t="s">
        <v>2045</v>
      </c>
      <c r="D112" s="14" t="s">
        <v>770</v>
      </c>
      <c r="E112" s="19">
        <v>2000</v>
      </c>
      <c r="F112" s="20">
        <v>9855.4500000000007</v>
      </c>
      <c r="G112" s="21">
        <v>2.5999999999999999E-3</v>
      </c>
      <c r="H112" s="22">
        <v>6.225E-2</v>
      </c>
      <c r="I112" s="23"/>
    </row>
    <row r="113" spans="1:9" ht="12.9" customHeight="1">
      <c r="A113" s="17" t="s">
        <v>2046</v>
      </c>
      <c r="B113" s="18" t="s">
        <v>2047</v>
      </c>
      <c r="C113" s="14" t="s">
        <v>2048</v>
      </c>
      <c r="D113" s="14" t="s">
        <v>770</v>
      </c>
      <c r="E113" s="19">
        <v>2000</v>
      </c>
      <c r="F113" s="20">
        <v>9854.2999999999993</v>
      </c>
      <c r="G113" s="21">
        <v>2.5999999999999999E-3</v>
      </c>
      <c r="H113" s="22">
        <v>6.275E-2</v>
      </c>
      <c r="I113" s="23"/>
    </row>
    <row r="114" spans="1:9" ht="12.9" customHeight="1">
      <c r="A114" s="17" t="s">
        <v>2049</v>
      </c>
      <c r="B114" s="18" t="s">
        <v>2050</v>
      </c>
      <c r="C114" s="14" t="s">
        <v>2051</v>
      </c>
      <c r="D114" s="14" t="s">
        <v>1485</v>
      </c>
      <c r="E114" s="19">
        <v>2000</v>
      </c>
      <c r="F114" s="20">
        <v>9847.39</v>
      </c>
      <c r="G114" s="21">
        <v>2.5999999999999999E-3</v>
      </c>
      <c r="H114" s="22">
        <v>7.1601999999999999E-2</v>
      </c>
      <c r="I114" s="23"/>
    </row>
    <row r="115" spans="1:9" ht="12.9" customHeight="1">
      <c r="A115" s="17" t="s">
        <v>2052</v>
      </c>
      <c r="B115" s="18" t="s">
        <v>2053</v>
      </c>
      <c r="C115" s="14" t="s">
        <v>2054</v>
      </c>
      <c r="D115" s="14" t="s">
        <v>770</v>
      </c>
      <c r="E115" s="19">
        <v>1500</v>
      </c>
      <c r="F115" s="20">
        <v>7426.6274999999996</v>
      </c>
      <c r="G115" s="21">
        <v>1.9E-3</v>
      </c>
      <c r="H115" s="22">
        <v>6.9348000000000007E-2</v>
      </c>
      <c r="I115" s="23"/>
    </row>
    <row r="116" spans="1:9" ht="12.9" customHeight="1">
      <c r="A116" s="17" t="s">
        <v>2055</v>
      </c>
      <c r="B116" s="18" t="s">
        <v>2056</v>
      </c>
      <c r="C116" s="14" t="s">
        <v>2057</v>
      </c>
      <c r="D116" s="14" t="s">
        <v>770</v>
      </c>
      <c r="E116" s="19">
        <v>1500</v>
      </c>
      <c r="F116" s="20">
        <v>7392.1049999999996</v>
      </c>
      <c r="G116" s="21">
        <v>1.9E-3</v>
      </c>
      <c r="H116" s="22">
        <v>6.1949999999999998E-2</v>
      </c>
      <c r="I116" s="23"/>
    </row>
    <row r="117" spans="1:9" ht="12.9" customHeight="1">
      <c r="A117" s="17" t="s">
        <v>2058</v>
      </c>
      <c r="B117" s="18" t="s">
        <v>2059</v>
      </c>
      <c r="C117" s="14" t="s">
        <v>2060</v>
      </c>
      <c r="D117" s="14" t="s">
        <v>770</v>
      </c>
      <c r="E117" s="19">
        <v>1500</v>
      </c>
      <c r="F117" s="20">
        <v>7390.8675000000003</v>
      </c>
      <c r="G117" s="21">
        <v>1.9E-3</v>
      </c>
      <c r="H117" s="22">
        <v>6.1950999999999999E-2</v>
      </c>
      <c r="I117" s="23"/>
    </row>
    <row r="118" spans="1:9" ht="12.9" customHeight="1">
      <c r="A118" s="17" t="s">
        <v>2061</v>
      </c>
      <c r="B118" s="18" t="s">
        <v>2062</v>
      </c>
      <c r="C118" s="14" t="s">
        <v>2063</v>
      </c>
      <c r="D118" s="14" t="s">
        <v>770</v>
      </c>
      <c r="E118" s="19">
        <v>1200</v>
      </c>
      <c r="F118" s="20">
        <v>5928.3959999999997</v>
      </c>
      <c r="G118" s="21">
        <v>1.6000000000000001E-3</v>
      </c>
      <c r="H118" s="22">
        <v>6.6798999999999997E-2</v>
      </c>
      <c r="I118" s="23"/>
    </row>
    <row r="119" spans="1:9" ht="12.9" customHeight="1">
      <c r="A119" s="17" t="s">
        <v>2064</v>
      </c>
      <c r="B119" s="18" t="s">
        <v>2065</v>
      </c>
      <c r="C119" s="14" t="s">
        <v>2066</v>
      </c>
      <c r="D119" s="14" t="s">
        <v>770</v>
      </c>
      <c r="E119" s="19">
        <v>1000</v>
      </c>
      <c r="F119" s="20">
        <v>4949.585</v>
      </c>
      <c r="G119" s="21">
        <v>1.2999999999999999E-3</v>
      </c>
      <c r="H119" s="22">
        <v>7.2900999999999994E-2</v>
      </c>
      <c r="I119" s="23"/>
    </row>
    <row r="120" spans="1:9" ht="12.9" customHeight="1">
      <c r="A120" s="17" t="s">
        <v>2067</v>
      </c>
      <c r="B120" s="18" t="s">
        <v>2068</v>
      </c>
      <c r="C120" s="14" t="s">
        <v>2069</v>
      </c>
      <c r="D120" s="14" t="s">
        <v>770</v>
      </c>
      <c r="E120" s="19">
        <v>1000</v>
      </c>
      <c r="F120" s="20">
        <v>4939.05</v>
      </c>
      <c r="G120" s="21">
        <v>1.2999999999999999E-3</v>
      </c>
      <c r="H120" s="22">
        <v>7.2649000000000005E-2</v>
      </c>
      <c r="I120" s="23"/>
    </row>
    <row r="121" spans="1:9" ht="12.9" customHeight="1">
      <c r="A121" s="17" t="s">
        <v>2070</v>
      </c>
      <c r="B121" s="18" t="s">
        <v>2071</v>
      </c>
      <c r="C121" s="14" t="s">
        <v>2072</v>
      </c>
      <c r="D121" s="14" t="s">
        <v>770</v>
      </c>
      <c r="E121" s="19">
        <v>600</v>
      </c>
      <c r="F121" s="20">
        <v>2959.866</v>
      </c>
      <c r="G121" s="21">
        <v>8.0000000000000004E-4</v>
      </c>
      <c r="H121" s="22">
        <v>6.7799999999999999E-2</v>
      </c>
      <c r="I121" s="23"/>
    </row>
    <row r="122" spans="1:9" ht="12.9" customHeight="1">
      <c r="A122" s="17" t="s">
        <v>2073</v>
      </c>
      <c r="B122" s="18" t="s">
        <v>2074</v>
      </c>
      <c r="C122" s="14" t="s">
        <v>2075</v>
      </c>
      <c r="D122" s="14" t="s">
        <v>770</v>
      </c>
      <c r="E122" s="19">
        <v>400</v>
      </c>
      <c r="F122" s="20">
        <v>1983.76</v>
      </c>
      <c r="G122" s="21">
        <v>5.0000000000000001E-4</v>
      </c>
      <c r="H122" s="22">
        <v>6.6401000000000002E-2</v>
      </c>
      <c r="I122" s="23"/>
    </row>
    <row r="123" spans="1:9" ht="12.9" customHeight="1">
      <c r="A123" s="5"/>
      <c r="B123" s="13" t="s">
        <v>88</v>
      </c>
      <c r="C123" s="14"/>
      <c r="D123" s="14"/>
      <c r="E123" s="14"/>
      <c r="F123" s="24">
        <v>1672959.7394999999</v>
      </c>
      <c r="G123" s="25">
        <v>0.43819999999999998</v>
      </c>
      <c r="H123" s="26"/>
      <c r="I123" s="27"/>
    </row>
    <row r="124" spans="1:9" ht="12.9" customHeight="1">
      <c r="A124" s="5"/>
      <c r="B124" s="13" t="s">
        <v>312</v>
      </c>
      <c r="C124" s="14"/>
      <c r="D124" s="14"/>
      <c r="E124" s="14"/>
      <c r="F124" s="5"/>
      <c r="G124" s="15"/>
      <c r="H124" s="15"/>
      <c r="I124" s="16"/>
    </row>
    <row r="125" spans="1:9" ht="12.9" customHeight="1">
      <c r="A125" s="17" t="s">
        <v>2076</v>
      </c>
      <c r="B125" s="18" t="s">
        <v>2077</v>
      </c>
      <c r="C125" s="14" t="s">
        <v>2078</v>
      </c>
      <c r="D125" s="14" t="s">
        <v>84</v>
      </c>
      <c r="E125" s="19">
        <v>130807200</v>
      </c>
      <c r="F125" s="20">
        <v>129589.90820000001</v>
      </c>
      <c r="G125" s="21">
        <v>3.39E-2</v>
      </c>
      <c r="H125" s="22">
        <v>5.2749999999999998E-2</v>
      </c>
      <c r="I125" s="23"/>
    </row>
    <row r="126" spans="1:9" ht="12.9" customHeight="1">
      <c r="A126" s="17" t="s">
        <v>1463</v>
      </c>
      <c r="B126" s="18" t="s">
        <v>1464</v>
      </c>
      <c r="C126" s="14" t="s">
        <v>1465</v>
      </c>
      <c r="D126" s="14" t="s">
        <v>84</v>
      </c>
      <c r="E126" s="19">
        <v>95000000</v>
      </c>
      <c r="F126" s="20">
        <v>94397.985000000001</v>
      </c>
      <c r="G126" s="21">
        <v>2.47E-2</v>
      </c>
      <c r="H126" s="22">
        <v>5.2900000000000003E-2</v>
      </c>
      <c r="I126" s="23"/>
    </row>
    <row r="127" spans="1:9" ht="12.9" customHeight="1">
      <c r="A127" s="17" t="s">
        <v>2079</v>
      </c>
      <c r="B127" s="18" t="s">
        <v>2080</v>
      </c>
      <c r="C127" s="14" t="s">
        <v>2081</v>
      </c>
      <c r="D127" s="14" t="s">
        <v>84</v>
      </c>
      <c r="E127" s="19">
        <v>75000000</v>
      </c>
      <c r="F127" s="20">
        <v>74680.2</v>
      </c>
      <c r="G127" s="21">
        <v>1.9599999999999999E-2</v>
      </c>
      <c r="H127" s="22">
        <v>5.21E-2</v>
      </c>
      <c r="I127" s="23"/>
    </row>
    <row r="128" spans="1:9" ht="12.9" customHeight="1">
      <c r="A128" s="17" t="s">
        <v>2082</v>
      </c>
      <c r="B128" s="18" t="s">
        <v>2083</v>
      </c>
      <c r="C128" s="14" t="s">
        <v>2084</v>
      </c>
      <c r="D128" s="14" t="s">
        <v>84</v>
      </c>
      <c r="E128" s="19">
        <v>52500000</v>
      </c>
      <c r="F128" s="20">
        <v>51955.785000000003</v>
      </c>
      <c r="G128" s="21">
        <v>1.3599999999999999E-2</v>
      </c>
      <c r="H128" s="22">
        <v>5.3100000000000001E-2</v>
      </c>
      <c r="I128" s="23"/>
    </row>
    <row r="129" spans="1:9" ht="12.9" customHeight="1">
      <c r="A129" s="17" t="s">
        <v>313</v>
      </c>
      <c r="B129" s="18" t="s">
        <v>314</v>
      </c>
      <c r="C129" s="14" t="s">
        <v>315</v>
      </c>
      <c r="D129" s="14" t="s">
        <v>84</v>
      </c>
      <c r="E129" s="19">
        <v>40000000</v>
      </c>
      <c r="F129" s="20">
        <v>39509.4</v>
      </c>
      <c r="G129" s="21">
        <v>1.03E-2</v>
      </c>
      <c r="H129" s="22">
        <v>5.2699999999999997E-2</v>
      </c>
      <c r="I129" s="23"/>
    </row>
    <row r="130" spans="1:9" ht="12.9" customHeight="1">
      <c r="A130" s="17" t="s">
        <v>1517</v>
      </c>
      <c r="B130" s="18" t="s">
        <v>1518</v>
      </c>
      <c r="C130" s="14" t="s">
        <v>1519</v>
      </c>
      <c r="D130" s="14" t="s">
        <v>84</v>
      </c>
      <c r="E130" s="19">
        <v>38834100</v>
      </c>
      <c r="F130" s="20">
        <v>38396.129000000001</v>
      </c>
      <c r="G130" s="21">
        <v>1.01E-2</v>
      </c>
      <c r="H130" s="22">
        <v>5.2699999999999997E-2</v>
      </c>
      <c r="I130" s="23"/>
    </row>
    <row r="131" spans="1:9" ht="12.9" customHeight="1">
      <c r="A131" s="17" t="s">
        <v>2085</v>
      </c>
      <c r="B131" s="18" t="s">
        <v>2086</v>
      </c>
      <c r="C131" s="14" t="s">
        <v>2087</v>
      </c>
      <c r="D131" s="14" t="s">
        <v>84</v>
      </c>
      <c r="E131" s="19">
        <v>15000000</v>
      </c>
      <c r="F131" s="20">
        <v>14995.605</v>
      </c>
      <c r="G131" s="21">
        <v>3.8999999999999998E-3</v>
      </c>
      <c r="H131" s="22">
        <v>5.3499999999999999E-2</v>
      </c>
      <c r="I131" s="23"/>
    </row>
    <row r="132" spans="1:9" ht="12.9" customHeight="1">
      <c r="A132" s="17" t="s">
        <v>1520</v>
      </c>
      <c r="B132" s="18" t="s">
        <v>1521</v>
      </c>
      <c r="C132" s="14" t="s">
        <v>1522</v>
      </c>
      <c r="D132" s="14" t="s">
        <v>84</v>
      </c>
      <c r="E132" s="19">
        <v>9000000</v>
      </c>
      <c r="F132" s="20">
        <v>8978.2919999999995</v>
      </c>
      <c r="G132" s="21">
        <v>2.3999999999999998E-3</v>
      </c>
      <c r="H132" s="22">
        <v>5.1922999999999997E-2</v>
      </c>
      <c r="I132" s="23"/>
    </row>
    <row r="133" spans="1:9" ht="12.9" customHeight="1">
      <c r="A133" s="17" t="s">
        <v>2088</v>
      </c>
      <c r="B133" s="18" t="s">
        <v>2089</v>
      </c>
      <c r="C133" s="14" t="s">
        <v>2090</v>
      </c>
      <c r="D133" s="14" t="s">
        <v>84</v>
      </c>
      <c r="E133" s="19">
        <v>4500000</v>
      </c>
      <c r="F133" s="20">
        <v>4471.4835000000003</v>
      </c>
      <c r="G133" s="21">
        <v>1.1999999999999999E-3</v>
      </c>
      <c r="H133" s="22">
        <v>5.2900000000000003E-2</v>
      </c>
      <c r="I133" s="23"/>
    </row>
    <row r="134" spans="1:9" ht="12.9" customHeight="1">
      <c r="A134" s="17" t="s">
        <v>2091</v>
      </c>
      <c r="B134" s="18" t="s">
        <v>2092</v>
      </c>
      <c r="C134" s="14" t="s">
        <v>2093</v>
      </c>
      <c r="D134" s="14" t="s">
        <v>84</v>
      </c>
      <c r="E134" s="19">
        <v>1000000</v>
      </c>
      <c r="F134" s="20">
        <v>997.70399999999995</v>
      </c>
      <c r="G134" s="21">
        <v>2.9999999999999997E-4</v>
      </c>
      <c r="H134" s="22">
        <v>5.2499999999999998E-2</v>
      </c>
      <c r="I134" s="23"/>
    </row>
    <row r="135" spans="1:9" ht="12.9" customHeight="1">
      <c r="A135" s="5"/>
      <c r="B135" s="13" t="s">
        <v>88</v>
      </c>
      <c r="C135" s="14"/>
      <c r="D135" s="14"/>
      <c r="E135" s="14"/>
      <c r="F135" s="24">
        <v>457972.49170000001</v>
      </c>
      <c r="G135" s="25">
        <v>0.11990000000000001</v>
      </c>
      <c r="H135" s="26"/>
      <c r="I135" s="27"/>
    </row>
    <row r="136" spans="1:9" ht="12.9" customHeight="1">
      <c r="A136" s="5"/>
      <c r="B136" s="28" t="s">
        <v>91</v>
      </c>
      <c r="C136" s="29"/>
      <c r="D136" s="2"/>
      <c r="E136" s="29"/>
      <c r="F136" s="24">
        <v>3586740.9567</v>
      </c>
      <c r="G136" s="25">
        <v>0.93940000000000001</v>
      </c>
      <c r="H136" s="26"/>
      <c r="I136" s="27"/>
    </row>
    <row r="137" spans="1:9" ht="12.9" customHeight="1">
      <c r="A137" s="5"/>
      <c r="B137" s="13" t="s">
        <v>285</v>
      </c>
      <c r="C137" s="14"/>
      <c r="D137" s="14"/>
      <c r="E137" s="14"/>
      <c r="F137" s="14"/>
      <c r="G137" s="14"/>
      <c r="H137" s="15"/>
      <c r="I137" s="16"/>
    </row>
    <row r="138" spans="1:9" ht="12.9" customHeight="1">
      <c r="A138" s="5"/>
      <c r="B138" s="13" t="s">
        <v>789</v>
      </c>
      <c r="C138" s="14"/>
      <c r="D138" s="14"/>
      <c r="E138" s="14"/>
      <c r="F138" s="5"/>
      <c r="G138" s="15"/>
      <c r="H138" s="15"/>
      <c r="I138" s="16"/>
    </row>
    <row r="139" spans="1:9" ht="12.9" customHeight="1">
      <c r="A139" s="17" t="s">
        <v>790</v>
      </c>
      <c r="B139" s="18" t="s">
        <v>791</v>
      </c>
      <c r="C139" s="14" t="s">
        <v>792</v>
      </c>
      <c r="D139" s="14"/>
      <c r="E139" s="19">
        <v>81627.707999999999</v>
      </c>
      <c r="F139" s="20">
        <v>9402.7016999999996</v>
      </c>
      <c r="G139" s="21">
        <v>2.5000000000000001E-3</v>
      </c>
      <c r="H139" s="22"/>
      <c r="I139" s="23"/>
    </row>
    <row r="140" spans="1:9" ht="12.9" customHeight="1">
      <c r="A140" s="5"/>
      <c r="B140" s="13" t="s">
        <v>88</v>
      </c>
      <c r="C140" s="14"/>
      <c r="D140" s="14"/>
      <c r="E140" s="14"/>
      <c r="F140" s="24">
        <v>9402.7016999999996</v>
      </c>
      <c r="G140" s="25">
        <v>2.5000000000000001E-3</v>
      </c>
      <c r="H140" s="26"/>
      <c r="I140" s="27"/>
    </row>
    <row r="141" spans="1:9" ht="12.9" customHeight="1">
      <c r="A141" s="5"/>
      <c r="B141" s="28" t="s">
        <v>91</v>
      </c>
      <c r="C141" s="29"/>
      <c r="D141" s="2"/>
      <c r="E141" s="29"/>
      <c r="F141" s="24">
        <v>9402.7016999999996</v>
      </c>
      <c r="G141" s="25">
        <v>2.5000000000000001E-3</v>
      </c>
      <c r="H141" s="26"/>
      <c r="I141" s="27"/>
    </row>
    <row r="142" spans="1:9" ht="12.9" customHeight="1">
      <c r="A142" s="5"/>
      <c r="B142" s="13" t="s">
        <v>92</v>
      </c>
      <c r="C142" s="14"/>
      <c r="D142" s="14"/>
      <c r="E142" s="14"/>
      <c r="F142" s="14"/>
      <c r="G142" s="14"/>
      <c r="H142" s="15"/>
      <c r="I142" s="16"/>
    </row>
    <row r="143" spans="1:9" ht="12.9" customHeight="1">
      <c r="A143" s="17" t="s">
        <v>2094</v>
      </c>
      <c r="B143" s="18" t="s">
        <v>94</v>
      </c>
      <c r="C143" s="14"/>
      <c r="D143" s="14"/>
      <c r="E143" s="19"/>
      <c r="F143" s="20">
        <v>100000</v>
      </c>
      <c r="G143" s="21">
        <v>2.6200000000000001E-2</v>
      </c>
      <c r="H143" s="22">
        <v>5.1950000000000003E-2</v>
      </c>
      <c r="I143" s="23"/>
    </row>
    <row r="144" spans="1:9" ht="12.9" customHeight="1">
      <c r="A144" s="17" t="s">
        <v>2095</v>
      </c>
      <c r="B144" s="18" t="s">
        <v>94</v>
      </c>
      <c r="C144" s="14"/>
      <c r="D144" s="14"/>
      <c r="E144" s="19"/>
      <c r="F144" s="20">
        <v>19999.120999999999</v>
      </c>
      <c r="G144" s="21">
        <v>5.1999999999999998E-3</v>
      </c>
      <c r="H144" s="22">
        <v>5.1999999999999998E-2</v>
      </c>
      <c r="I144" s="23"/>
    </row>
    <row r="145" spans="1:9" ht="12.9" customHeight="1">
      <c r="A145" s="17" t="s">
        <v>93</v>
      </c>
      <c r="B145" s="18" t="s">
        <v>94</v>
      </c>
      <c r="C145" s="14"/>
      <c r="D145" s="14"/>
      <c r="E145" s="19"/>
      <c r="F145" s="20">
        <v>10878.53</v>
      </c>
      <c r="G145" s="21">
        <v>2.8E-3</v>
      </c>
      <c r="H145" s="22">
        <v>5.0765164710623992E-2</v>
      </c>
      <c r="I145" s="23"/>
    </row>
    <row r="146" spans="1:9" ht="12.9" customHeight="1">
      <c r="A146" s="5"/>
      <c r="B146" s="13" t="s">
        <v>88</v>
      </c>
      <c r="C146" s="14"/>
      <c r="D146" s="14"/>
      <c r="E146" s="14"/>
      <c r="F146" s="24">
        <v>130877.651</v>
      </c>
      <c r="G146" s="25">
        <v>3.4299999999999997E-2</v>
      </c>
      <c r="H146" s="26"/>
      <c r="I146" s="27"/>
    </row>
    <row r="147" spans="1:9" ht="12.9" customHeight="1">
      <c r="A147" s="5"/>
      <c r="B147" s="28" t="s">
        <v>91</v>
      </c>
      <c r="C147" s="29"/>
      <c r="D147" s="2"/>
      <c r="E147" s="29"/>
      <c r="F147" s="24">
        <v>130877.651</v>
      </c>
      <c r="G147" s="25">
        <v>3.4299999999999997E-2</v>
      </c>
      <c r="H147" s="26"/>
      <c r="I147" s="27"/>
    </row>
    <row r="148" spans="1:9" ht="12.9" customHeight="1">
      <c r="A148" s="5"/>
      <c r="B148" s="28" t="s">
        <v>96</v>
      </c>
      <c r="C148" s="14"/>
      <c r="D148" s="2"/>
      <c r="E148" s="14"/>
      <c r="F148" s="31">
        <v>38649.121899999998</v>
      </c>
      <c r="G148" s="25">
        <v>0.01</v>
      </c>
      <c r="H148" s="26"/>
      <c r="I148" s="27"/>
    </row>
    <row r="149" spans="1:9" ht="12.9" customHeight="1">
      <c r="A149" s="5"/>
      <c r="B149" s="32" t="s">
        <v>97</v>
      </c>
      <c r="C149" s="33"/>
      <c r="D149" s="33"/>
      <c r="E149" s="33"/>
      <c r="F149" s="34">
        <v>3818177.85</v>
      </c>
      <c r="G149" s="35">
        <v>1</v>
      </c>
      <c r="H149" s="36"/>
      <c r="I149" s="37"/>
    </row>
    <row r="150" spans="1:9" ht="12.9" customHeight="1">
      <c r="A150" s="5"/>
      <c r="B150" s="7"/>
      <c r="C150" s="5"/>
      <c r="D150" s="5"/>
      <c r="E150" s="5"/>
      <c r="F150" s="5"/>
      <c r="G150" s="5"/>
      <c r="H150" s="5"/>
      <c r="I150" s="5"/>
    </row>
    <row r="151" spans="1:9" ht="12.9" customHeight="1">
      <c r="A151" s="5"/>
      <c r="B151" s="4" t="s">
        <v>793</v>
      </c>
      <c r="C151" s="5"/>
      <c r="D151" s="5"/>
      <c r="E151" s="5"/>
      <c r="F151" s="5"/>
      <c r="G151" s="5"/>
      <c r="H151" s="5"/>
      <c r="I151" s="5"/>
    </row>
    <row r="152" spans="1:9" ht="12.9" customHeight="1">
      <c r="A152" s="5"/>
      <c r="B152" s="4" t="s">
        <v>146</v>
      </c>
      <c r="C152" s="5"/>
      <c r="D152" s="5"/>
      <c r="E152" s="5"/>
      <c r="F152" s="5"/>
      <c r="G152" s="5"/>
      <c r="H152" s="5"/>
      <c r="I152" s="5"/>
    </row>
    <row r="153" spans="1:9" ht="12.9" customHeight="1">
      <c r="A153" s="5"/>
      <c r="B153" s="4" t="s">
        <v>99</v>
      </c>
      <c r="C153" s="5"/>
      <c r="D153" s="5"/>
      <c r="E153" s="5"/>
      <c r="F153" s="5"/>
      <c r="G153" s="5"/>
      <c r="H153" s="5"/>
      <c r="I153" s="5"/>
    </row>
    <row r="154" spans="1:9" ht="26.1" customHeight="1">
      <c r="A154" s="5"/>
      <c r="B154" s="50" t="s">
        <v>100</v>
      </c>
      <c r="C154" s="50"/>
      <c r="D154" s="50"/>
      <c r="E154" s="50"/>
      <c r="F154" s="50"/>
      <c r="G154" s="50"/>
      <c r="H154" s="50"/>
      <c r="I154" s="50"/>
    </row>
    <row r="155" spans="1:9" ht="12.9" customHeight="1">
      <c r="A155" s="5"/>
      <c r="B155" s="50" t="s">
        <v>101</v>
      </c>
      <c r="C155" s="50"/>
      <c r="D155" s="50"/>
      <c r="E155" s="50"/>
      <c r="F155" s="50"/>
      <c r="G155" s="50"/>
      <c r="H155" s="50"/>
      <c r="I155" s="50"/>
    </row>
    <row r="156" spans="1:9" ht="12.9" customHeight="1">
      <c r="A156" s="5"/>
      <c r="B156" s="50"/>
      <c r="C156" s="50"/>
      <c r="D156" s="50"/>
      <c r="E156" s="50"/>
      <c r="F156" s="50"/>
      <c r="G156" s="50"/>
      <c r="H156" s="50"/>
      <c r="I156" s="50"/>
    </row>
    <row r="157" spans="1:9" ht="12.9" customHeight="1">
      <c r="A157" s="5"/>
      <c r="B157" s="50"/>
      <c r="C157" s="50"/>
      <c r="D157" s="50"/>
      <c r="E157" s="50"/>
      <c r="F157" s="50"/>
      <c r="G157" s="50"/>
      <c r="H157" s="50"/>
      <c r="I157" s="50"/>
    </row>
    <row r="158" spans="1:9" ht="12.9" customHeight="1">
      <c r="A158" s="5"/>
      <c r="B158" s="5"/>
      <c r="C158" s="51" t="s">
        <v>2096</v>
      </c>
      <c r="D158" s="51"/>
      <c r="E158" s="51"/>
      <c r="F158" s="51"/>
      <c r="G158" s="5"/>
      <c r="H158" s="5"/>
      <c r="I158" s="5"/>
    </row>
    <row r="159" spans="1:9" ht="12.9" customHeight="1">
      <c r="A159" s="5"/>
      <c r="B159" s="38" t="s">
        <v>103</v>
      </c>
      <c r="C159" s="51" t="s">
        <v>104</v>
      </c>
      <c r="D159" s="51"/>
      <c r="E159" s="51"/>
      <c r="F159" s="51"/>
      <c r="G159" s="5"/>
      <c r="H159" s="5"/>
      <c r="I159" s="5"/>
    </row>
    <row r="160" spans="1:9" ht="135" customHeight="1">
      <c r="A160" s="5"/>
      <c r="B160" s="39"/>
      <c r="C160" s="52"/>
      <c r="D160" s="52"/>
      <c r="E160" s="5"/>
      <c r="F160" s="5"/>
      <c r="G160" s="5"/>
      <c r="H160" s="5"/>
      <c r="I160" s="5"/>
    </row>
  </sheetData>
  <mergeCells count="7">
    <mergeCell ref="B157:I157"/>
    <mergeCell ref="C158:F158"/>
    <mergeCell ref="C159:F159"/>
    <mergeCell ref="C160:D160"/>
    <mergeCell ref="B154:I154"/>
    <mergeCell ref="B155:I155"/>
    <mergeCell ref="B156:I156"/>
  </mergeCells>
  <hyperlinks>
    <hyperlink ref="A1" location="AxisLiquidFund" display="AXISLFA" xr:uid="{00000000-0004-0000-2C00-000000000000}"/>
    <hyperlink ref="B1" location="AxisLiquidFund" display="Axis Liquid Fund" xr:uid="{00000000-0004-0000-2C00-000001000000}"/>
  </hyperlinks>
  <pageMargins left="0" right="0" top="0" bottom="0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/>
  </sheetPr>
  <dimension ref="A1:I46"/>
  <sheetViews>
    <sheetView workbookViewId="0">
      <selection activeCell="B41" sqref="B41:I41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45</v>
      </c>
      <c r="B1" s="4" t="s">
        <v>46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973</v>
      </c>
      <c r="B7" s="18" t="s">
        <v>974</v>
      </c>
      <c r="C7" s="14" t="s">
        <v>975</v>
      </c>
      <c r="D7" s="14" t="s">
        <v>84</v>
      </c>
      <c r="E7" s="19">
        <v>10500000</v>
      </c>
      <c r="F7" s="20">
        <v>10415.191500000001</v>
      </c>
      <c r="G7" s="21">
        <v>0.1646</v>
      </c>
      <c r="H7" s="22">
        <v>6.7000000000000004E-2</v>
      </c>
      <c r="I7" s="23"/>
    </row>
    <row r="8" spans="1:9" ht="12.9" customHeight="1">
      <c r="A8" s="17" t="s">
        <v>1179</v>
      </c>
      <c r="B8" s="18" t="s">
        <v>1180</v>
      </c>
      <c r="C8" s="14" t="s">
        <v>1181</v>
      </c>
      <c r="D8" s="14" t="s">
        <v>84</v>
      </c>
      <c r="E8" s="19">
        <v>9000000</v>
      </c>
      <c r="F8" s="20">
        <v>8446.491</v>
      </c>
      <c r="G8" s="21">
        <v>0.13350000000000001</v>
      </c>
      <c r="H8" s="22">
        <v>7.5169E-2</v>
      </c>
      <c r="I8" s="23"/>
    </row>
    <row r="9" spans="1:9" ht="12.9" customHeight="1">
      <c r="A9" s="17" t="s">
        <v>1295</v>
      </c>
      <c r="B9" s="18" t="s">
        <v>1296</v>
      </c>
      <c r="C9" s="14" t="s">
        <v>1297</v>
      </c>
      <c r="D9" s="14" t="s">
        <v>84</v>
      </c>
      <c r="E9" s="19">
        <v>7500000</v>
      </c>
      <c r="F9" s="20">
        <v>7499.2574999999997</v>
      </c>
      <c r="G9" s="21">
        <v>0.11849999999999999</v>
      </c>
      <c r="H9" s="22">
        <v>7.5686000000000003E-2</v>
      </c>
      <c r="I9" s="23"/>
    </row>
    <row r="10" spans="1:9" ht="12.9" customHeight="1">
      <c r="A10" s="17" t="s">
        <v>1149</v>
      </c>
      <c r="B10" s="18" t="s">
        <v>1150</v>
      </c>
      <c r="C10" s="14" t="s">
        <v>1151</v>
      </c>
      <c r="D10" s="14" t="s">
        <v>84</v>
      </c>
      <c r="E10" s="19">
        <v>4500000</v>
      </c>
      <c r="F10" s="20">
        <v>4465.3995000000004</v>
      </c>
      <c r="G10" s="21">
        <v>7.0599999999999996E-2</v>
      </c>
      <c r="H10" s="22">
        <v>7.4357999999999994E-2</v>
      </c>
      <c r="I10" s="23"/>
    </row>
    <row r="11" spans="1:9" ht="12.9" customHeight="1">
      <c r="A11" s="17" t="s">
        <v>1438</v>
      </c>
      <c r="B11" s="18" t="s">
        <v>1439</v>
      </c>
      <c r="C11" s="14" t="s">
        <v>1440</v>
      </c>
      <c r="D11" s="14" t="s">
        <v>84</v>
      </c>
      <c r="E11" s="19">
        <v>4494700</v>
      </c>
      <c r="F11" s="20">
        <v>4453.8117000000002</v>
      </c>
      <c r="G11" s="21">
        <v>7.0400000000000004E-2</v>
      </c>
      <c r="H11" s="22">
        <v>7.5480000000000005E-2</v>
      </c>
      <c r="I11" s="23"/>
    </row>
    <row r="12" spans="1:9" ht="12.9" customHeight="1">
      <c r="A12" s="17" t="s">
        <v>329</v>
      </c>
      <c r="B12" s="18" t="s">
        <v>330</v>
      </c>
      <c r="C12" s="14" t="s">
        <v>331</v>
      </c>
      <c r="D12" s="14" t="s">
        <v>84</v>
      </c>
      <c r="E12" s="19">
        <v>4114800</v>
      </c>
      <c r="F12" s="20">
        <v>4150.6522999999997</v>
      </c>
      <c r="G12" s="21">
        <v>6.5600000000000006E-2</v>
      </c>
      <c r="H12" s="22">
        <v>6.7664000000000002E-2</v>
      </c>
      <c r="I12" s="23"/>
    </row>
    <row r="13" spans="1:9" ht="12.9" customHeight="1">
      <c r="A13" s="17" t="s">
        <v>889</v>
      </c>
      <c r="B13" s="18" t="s">
        <v>890</v>
      </c>
      <c r="C13" s="14" t="s">
        <v>891</v>
      </c>
      <c r="D13" s="14" t="s">
        <v>84</v>
      </c>
      <c r="E13" s="19">
        <v>3500000</v>
      </c>
      <c r="F13" s="20">
        <v>3598</v>
      </c>
      <c r="G13" s="21">
        <v>5.6899999999999999E-2</v>
      </c>
      <c r="H13" s="22">
        <v>6.7644999999999997E-2</v>
      </c>
      <c r="I13" s="23"/>
    </row>
    <row r="14" spans="1:9" ht="12.9" customHeight="1">
      <c r="A14" s="17" t="s">
        <v>1307</v>
      </c>
      <c r="B14" s="18" t="s">
        <v>1308</v>
      </c>
      <c r="C14" s="14" t="s">
        <v>1309</v>
      </c>
      <c r="D14" s="14" t="s">
        <v>84</v>
      </c>
      <c r="E14" s="19">
        <v>3643000</v>
      </c>
      <c r="F14" s="20">
        <v>3481.8045000000002</v>
      </c>
      <c r="G14" s="21">
        <v>5.5E-2</v>
      </c>
      <c r="H14" s="22">
        <v>7.5656000000000001E-2</v>
      </c>
      <c r="I14" s="23"/>
    </row>
    <row r="15" spans="1:9" ht="12.9" customHeight="1">
      <c r="A15" s="17" t="s">
        <v>1007</v>
      </c>
      <c r="B15" s="18" t="s">
        <v>1008</v>
      </c>
      <c r="C15" s="14" t="s">
        <v>1009</v>
      </c>
      <c r="D15" s="14" t="s">
        <v>84</v>
      </c>
      <c r="E15" s="19">
        <v>2857000</v>
      </c>
      <c r="F15" s="20">
        <v>2769.5700999999999</v>
      </c>
      <c r="G15" s="21">
        <v>4.3799999999999999E-2</v>
      </c>
      <c r="H15" s="22">
        <v>7.1414000000000005E-2</v>
      </c>
      <c r="I15" s="23"/>
    </row>
    <row r="16" spans="1:9" ht="12.9" customHeight="1">
      <c r="A16" s="17" t="s">
        <v>1304</v>
      </c>
      <c r="B16" s="18" t="s">
        <v>1305</v>
      </c>
      <c r="C16" s="14" t="s">
        <v>1306</v>
      </c>
      <c r="D16" s="14" t="s">
        <v>84</v>
      </c>
      <c r="E16" s="19">
        <v>2500000</v>
      </c>
      <c r="F16" s="20">
        <v>2431.4825000000001</v>
      </c>
      <c r="G16" s="21">
        <v>3.8399999999999997E-2</v>
      </c>
      <c r="H16" s="22">
        <v>7.4527999999999997E-2</v>
      </c>
      <c r="I16" s="23"/>
    </row>
    <row r="17" spans="1:9" ht="12.9" customHeight="1">
      <c r="A17" s="17" t="s">
        <v>801</v>
      </c>
      <c r="B17" s="18" t="s">
        <v>802</v>
      </c>
      <c r="C17" s="14" t="s">
        <v>803</v>
      </c>
      <c r="D17" s="14" t="s">
        <v>84</v>
      </c>
      <c r="E17" s="19">
        <v>1500000</v>
      </c>
      <c r="F17" s="20">
        <v>1562.463</v>
      </c>
      <c r="G17" s="21">
        <v>2.47E-2</v>
      </c>
      <c r="H17" s="22">
        <v>7.4081999999999995E-2</v>
      </c>
      <c r="I17" s="23"/>
    </row>
    <row r="18" spans="1:9" ht="12.9" customHeight="1">
      <c r="A18" s="17" t="s">
        <v>2097</v>
      </c>
      <c r="B18" s="18" t="s">
        <v>2098</v>
      </c>
      <c r="C18" s="14" t="s">
        <v>2099</v>
      </c>
      <c r="D18" s="14" t="s">
        <v>84</v>
      </c>
      <c r="E18" s="19">
        <v>1483000</v>
      </c>
      <c r="F18" s="20">
        <v>1495.1636000000001</v>
      </c>
      <c r="G18" s="21">
        <v>2.3599999999999999E-2</v>
      </c>
      <c r="H18" s="22">
        <v>7.4995000000000006E-2</v>
      </c>
      <c r="I18" s="23"/>
    </row>
    <row r="19" spans="1:9" ht="12.9" customHeight="1">
      <c r="A19" s="17" t="s">
        <v>1173</v>
      </c>
      <c r="B19" s="18" t="s">
        <v>1174</v>
      </c>
      <c r="C19" s="14" t="s">
        <v>1175</v>
      </c>
      <c r="D19" s="14" t="s">
        <v>84</v>
      </c>
      <c r="E19" s="19">
        <v>1200000</v>
      </c>
      <c r="F19" s="20">
        <v>1177.7988</v>
      </c>
      <c r="G19" s="21">
        <v>1.8599999999999998E-2</v>
      </c>
      <c r="H19" s="22">
        <v>6.7049999999999998E-2</v>
      </c>
      <c r="I19" s="23"/>
    </row>
    <row r="20" spans="1:9" ht="12.9" customHeight="1">
      <c r="A20" s="17" t="s">
        <v>2100</v>
      </c>
      <c r="B20" s="18" t="s">
        <v>2101</v>
      </c>
      <c r="C20" s="14" t="s">
        <v>2102</v>
      </c>
      <c r="D20" s="14" t="s">
        <v>84</v>
      </c>
      <c r="E20" s="19">
        <v>1000000</v>
      </c>
      <c r="F20" s="20">
        <v>1000.004</v>
      </c>
      <c r="G20" s="21">
        <v>1.5800000000000002E-2</v>
      </c>
      <c r="H20" s="22">
        <v>7.5777999999999998E-2</v>
      </c>
      <c r="I20" s="23"/>
    </row>
    <row r="21" spans="1:9" ht="12.9" customHeight="1">
      <c r="A21" s="17" t="s">
        <v>1322</v>
      </c>
      <c r="B21" s="18" t="s">
        <v>1323</v>
      </c>
      <c r="C21" s="14" t="s">
        <v>1324</v>
      </c>
      <c r="D21" s="14" t="s">
        <v>84</v>
      </c>
      <c r="E21" s="19">
        <v>500000</v>
      </c>
      <c r="F21" s="20">
        <v>526.24900000000002</v>
      </c>
      <c r="G21" s="21">
        <v>8.3000000000000001E-3</v>
      </c>
      <c r="H21" s="22">
        <v>6.9440000000000002E-2</v>
      </c>
      <c r="I21" s="23"/>
    </row>
    <row r="22" spans="1:9" ht="12.9" customHeight="1">
      <c r="A22" s="17" t="s">
        <v>2103</v>
      </c>
      <c r="B22" s="18" t="s">
        <v>2104</v>
      </c>
      <c r="C22" s="14" t="s">
        <v>2105</v>
      </c>
      <c r="D22" s="14" t="s">
        <v>84</v>
      </c>
      <c r="E22" s="19">
        <v>500000</v>
      </c>
      <c r="F22" s="20">
        <v>505.13299999999998</v>
      </c>
      <c r="G22" s="21">
        <v>8.0000000000000002E-3</v>
      </c>
      <c r="H22" s="22">
        <v>7.5171000000000002E-2</v>
      </c>
      <c r="I22" s="23"/>
    </row>
    <row r="23" spans="1:9" ht="12.9" customHeight="1">
      <c r="A23" s="17" t="s">
        <v>1667</v>
      </c>
      <c r="B23" s="18" t="s">
        <v>1668</v>
      </c>
      <c r="C23" s="14" t="s">
        <v>1669</v>
      </c>
      <c r="D23" s="14" t="s">
        <v>84</v>
      </c>
      <c r="E23" s="19">
        <v>424800</v>
      </c>
      <c r="F23" s="20">
        <v>405.43889999999999</v>
      </c>
      <c r="G23" s="21">
        <v>6.4000000000000003E-3</v>
      </c>
      <c r="H23" s="22">
        <v>7.4928999999999996E-2</v>
      </c>
      <c r="I23" s="23"/>
    </row>
    <row r="24" spans="1:9" ht="12.9" customHeight="1">
      <c r="A24" s="17" t="s">
        <v>2106</v>
      </c>
      <c r="B24" s="18" t="s">
        <v>2107</v>
      </c>
      <c r="C24" s="14" t="s">
        <v>2108</v>
      </c>
      <c r="D24" s="14" t="s">
        <v>84</v>
      </c>
      <c r="E24" s="19">
        <v>235700</v>
      </c>
      <c r="F24" s="20">
        <v>237.72649999999999</v>
      </c>
      <c r="G24" s="21">
        <v>3.8E-3</v>
      </c>
      <c r="H24" s="22">
        <v>7.3632000000000003E-2</v>
      </c>
      <c r="I24" s="23"/>
    </row>
    <row r="25" spans="1:9" ht="12.9" customHeight="1">
      <c r="A25" s="17" t="s">
        <v>332</v>
      </c>
      <c r="B25" s="18" t="s">
        <v>333</v>
      </c>
      <c r="C25" s="14" t="s">
        <v>334</v>
      </c>
      <c r="D25" s="14" t="s">
        <v>84</v>
      </c>
      <c r="E25" s="19">
        <v>200000</v>
      </c>
      <c r="F25" s="20">
        <v>206.3604</v>
      </c>
      <c r="G25" s="21">
        <v>3.3E-3</v>
      </c>
      <c r="H25" s="22">
        <v>6.7517999999999995E-2</v>
      </c>
      <c r="I25" s="23"/>
    </row>
    <row r="26" spans="1:9" ht="12.9" customHeight="1">
      <c r="A26" s="17" t="s">
        <v>2109</v>
      </c>
      <c r="B26" s="18" t="s">
        <v>2110</v>
      </c>
      <c r="C26" s="14" t="s">
        <v>2111</v>
      </c>
      <c r="D26" s="14" t="s">
        <v>84</v>
      </c>
      <c r="E26" s="19">
        <v>200000</v>
      </c>
      <c r="F26" s="20">
        <v>195.7706</v>
      </c>
      <c r="G26" s="21">
        <v>3.0999999999999999E-3</v>
      </c>
      <c r="H26" s="22">
        <v>7.4915999999999996E-2</v>
      </c>
      <c r="I26" s="23"/>
    </row>
    <row r="27" spans="1:9" ht="12.9" customHeight="1">
      <c r="A27" s="5"/>
      <c r="B27" s="13" t="s">
        <v>88</v>
      </c>
      <c r="C27" s="14"/>
      <c r="D27" s="14"/>
      <c r="E27" s="14"/>
      <c r="F27" s="24">
        <v>59023.768400000001</v>
      </c>
      <c r="G27" s="25">
        <v>0.93269999999999997</v>
      </c>
      <c r="H27" s="26"/>
      <c r="I27" s="27"/>
    </row>
    <row r="28" spans="1:9" ht="12.9" customHeight="1">
      <c r="A28" s="5"/>
      <c r="B28" s="28" t="s">
        <v>89</v>
      </c>
      <c r="C28" s="2"/>
      <c r="D28" s="2"/>
      <c r="E28" s="2"/>
      <c r="F28" s="26" t="s">
        <v>90</v>
      </c>
      <c r="G28" s="26" t="s">
        <v>90</v>
      </c>
      <c r="H28" s="26"/>
      <c r="I28" s="27"/>
    </row>
    <row r="29" spans="1:9" ht="12.9" customHeight="1">
      <c r="A29" s="5"/>
      <c r="B29" s="28" t="s">
        <v>88</v>
      </c>
      <c r="C29" s="2"/>
      <c r="D29" s="2"/>
      <c r="E29" s="2"/>
      <c r="F29" s="26" t="s">
        <v>90</v>
      </c>
      <c r="G29" s="26" t="s">
        <v>90</v>
      </c>
      <c r="H29" s="26"/>
      <c r="I29" s="27"/>
    </row>
    <row r="30" spans="1:9" ht="12.9" customHeight="1">
      <c r="A30" s="5"/>
      <c r="B30" s="28" t="s">
        <v>91</v>
      </c>
      <c r="C30" s="29"/>
      <c r="D30" s="2"/>
      <c r="E30" s="29"/>
      <c r="F30" s="24">
        <v>59023.768400000001</v>
      </c>
      <c r="G30" s="25">
        <v>0.93269999999999997</v>
      </c>
      <c r="H30" s="26"/>
      <c r="I30" s="27"/>
    </row>
    <row r="31" spans="1:9" ht="12.9" customHeight="1">
      <c r="A31" s="5"/>
      <c r="B31" s="13" t="s">
        <v>92</v>
      </c>
      <c r="C31" s="14"/>
      <c r="D31" s="14"/>
      <c r="E31" s="14"/>
      <c r="F31" s="14"/>
      <c r="G31" s="14"/>
      <c r="H31" s="15"/>
      <c r="I31" s="16"/>
    </row>
    <row r="32" spans="1:9" ht="12.9" customHeight="1">
      <c r="A32" s="17" t="s">
        <v>93</v>
      </c>
      <c r="B32" s="18" t="s">
        <v>94</v>
      </c>
      <c r="C32" s="14"/>
      <c r="D32" s="14"/>
      <c r="E32" s="19"/>
      <c r="F32" s="20">
        <v>41.47</v>
      </c>
      <c r="G32" s="21">
        <v>6.9999999999999999E-4</v>
      </c>
      <c r="H32" s="22">
        <v>5.076555980186586E-2</v>
      </c>
      <c r="I32" s="23"/>
    </row>
    <row r="33" spans="1:9" ht="12.9" customHeight="1">
      <c r="A33" s="5"/>
      <c r="B33" s="13" t="s">
        <v>88</v>
      </c>
      <c r="C33" s="14"/>
      <c r="D33" s="14"/>
      <c r="E33" s="14"/>
      <c r="F33" s="24">
        <v>41.47</v>
      </c>
      <c r="G33" s="25">
        <v>6.9999999999999999E-4</v>
      </c>
      <c r="H33" s="26"/>
      <c r="I33" s="27"/>
    </row>
    <row r="34" spans="1:9" ht="12.9" customHeight="1">
      <c r="A34" s="5"/>
      <c r="B34" s="28" t="s">
        <v>91</v>
      </c>
      <c r="C34" s="29"/>
      <c r="D34" s="2"/>
      <c r="E34" s="29"/>
      <c r="F34" s="24">
        <v>41.47</v>
      </c>
      <c r="G34" s="25">
        <v>6.9999999999999999E-4</v>
      </c>
      <c r="H34" s="26"/>
      <c r="I34" s="27"/>
    </row>
    <row r="35" spans="1:9" ht="12.9" customHeight="1">
      <c r="A35" s="5"/>
      <c r="B35" s="28" t="s">
        <v>96</v>
      </c>
      <c r="C35" s="14"/>
      <c r="D35" s="2"/>
      <c r="E35" s="14"/>
      <c r="F35" s="31">
        <v>4217.7416000000003</v>
      </c>
      <c r="G35" s="25">
        <v>6.6600000000000006E-2</v>
      </c>
      <c r="H35" s="26"/>
      <c r="I35" s="27"/>
    </row>
    <row r="36" spans="1:9" ht="12.9" customHeight="1">
      <c r="A36" s="5"/>
      <c r="B36" s="32" t="s">
        <v>97</v>
      </c>
      <c r="C36" s="33"/>
      <c r="D36" s="33"/>
      <c r="E36" s="33"/>
      <c r="F36" s="34">
        <v>63282.98</v>
      </c>
      <c r="G36" s="35">
        <v>1</v>
      </c>
      <c r="H36" s="36"/>
      <c r="I36" s="37"/>
    </row>
    <row r="37" spans="1:9" ht="12.9" customHeight="1">
      <c r="A37" s="5"/>
      <c r="B37" s="7"/>
      <c r="C37" s="5"/>
      <c r="D37" s="5"/>
      <c r="E37" s="5"/>
      <c r="F37" s="5"/>
      <c r="G37" s="5"/>
      <c r="H37" s="5"/>
      <c r="I37" s="5"/>
    </row>
    <row r="38" spans="1:9" ht="12.9" customHeight="1">
      <c r="A38" s="5"/>
      <c r="B38" s="4" t="s">
        <v>99</v>
      </c>
      <c r="C38" s="5"/>
      <c r="D38" s="5"/>
      <c r="E38" s="5"/>
      <c r="F38" s="5"/>
      <c r="G38" s="5"/>
      <c r="H38" s="5"/>
      <c r="I38" s="5"/>
    </row>
    <row r="39" spans="1:9" ht="26.1" customHeight="1">
      <c r="A39" s="5"/>
      <c r="B39" s="50" t="s">
        <v>100</v>
      </c>
      <c r="C39" s="50"/>
      <c r="D39" s="50"/>
      <c r="E39" s="50"/>
      <c r="F39" s="50"/>
      <c r="G39" s="50"/>
      <c r="H39" s="50"/>
      <c r="I39" s="50"/>
    </row>
    <row r="40" spans="1:9" ht="12.9" customHeight="1">
      <c r="A40" s="5"/>
      <c r="B40" s="50" t="s">
        <v>101</v>
      </c>
      <c r="C40" s="50"/>
      <c r="D40" s="50"/>
      <c r="E40" s="50"/>
      <c r="F40" s="50"/>
      <c r="G40" s="50"/>
      <c r="H40" s="50"/>
      <c r="I40" s="50"/>
    </row>
    <row r="41" spans="1:9" ht="12.9" customHeight="1">
      <c r="A41" s="5"/>
      <c r="B41" s="50"/>
      <c r="C41" s="50"/>
      <c r="D41" s="50"/>
      <c r="E41" s="50"/>
      <c r="F41" s="50"/>
      <c r="G41" s="50"/>
      <c r="H41" s="50"/>
      <c r="I41" s="50"/>
    </row>
    <row r="42" spans="1:9" ht="12.9" customHeight="1">
      <c r="A42" s="5"/>
      <c r="B42" s="53" t="s">
        <v>2112</v>
      </c>
      <c r="C42" s="53"/>
      <c r="D42" s="53"/>
      <c r="E42" s="53"/>
      <c r="F42" s="5"/>
      <c r="G42" s="5"/>
      <c r="H42" s="5"/>
      <c r="I42" s="5"/>
    </row>
    <row r="43" spans="1:9" ht="12.9" customHeight="1">
      <c r="A43" s="5"/>
      <c r="B43" s="50"/>
      <c r="C43" s="50"/>
      <c r="D43" s="50"/>
      <c r="E43" s="50"/>
      <c r="F43" s="50"/>
      <c r="G43" s="50"/>
      <c r="H43" s="50"/>
      <c r="I43" s="50"/>
    </row>
    <row r="44" spans="1:9" ht="12.9" customHeight="1">
      <c r="A44" s="5"/>
      <c r="B44" s="5"/>
      <c r="C44" s="51" t="s">
        <v>2113</v>
      </c>
      <c r="D44" s="51"/>
      <c r="E44" s="51"/>
      <c r="F44" s="51"/>
      <c r="G44" s="5"/>
      <c r="H44" s="5"/>
      <c r="I44" s="5"/>
    </row>
    <row r="45" spans="1:9" ht="12.9" customHeight="1">
      <c r="A45" s="5"/>
      <c r="B45" s="38" t="s">
        <v>103</v>
      </c>
      <c r="C45" s="51" t="s">
        <v>104</v>
      </c>
      <c r="D45" s="51"/>
      <c r="E45" s="51"/>
      <c r="F45" s="51"/>
      <c r="G45" s="5"/>
      <c r="H45" s="5"/>
      <c r="I45" s="5"/>
    </row>
    <row r="46" spans="1:9" ht="135" customHeight="1">
      <c r="A46" s="5"/>
      <c r="B46" s="39"/>
      <c r="C46" s="52"/>
      <c r="D46" s="52"/>
      <c r="E46" s="5"/>
      <c r="F46" s="5"/>
      <c r="G46" s="5"/>
      <c r="H46" s="5"/>
      <c r="I46" s="5"/>
    </row>
  </sheetData>
  <mergeCells count="8">
    <mergeCell ref="C44:F44"/>
    <mergeCell ref="C45:F45"/>
    <mergeCell ref="C46:D46"/>
    <mergeCell ref="B39:I39"/>
    <mergeCell ref="B40:I40"/>
    <mergeCell ref="B41:I41"/>
    <mergeCell ref="B42:E42"/>
    <mergeCell ref="B43:I43"/>
  </mergeCells>
  <hyperlinks>
    <hyperlink ref="A1" location="AxisGiltFund" display="AXISM10" xr:uid="{00000000-0004-0000-2D00-000000000000}"/>
    <hyperlink ref="B1" location="AxisGiltFund" display="Axis Gilt Fund" xr:uid="{00000000-0004-0000-2D00-000001000000}"/>
  </hyperlinks>
  <pageMargins left="0" right="0" top="0" bottom="0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/>
  </sheetPr>
  <dimension ref="A1:I170"/>
  <sheetViews>
    <sheetView workbookViewId="0">
      <selection activeCell="B165" sqref="B165:I165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47</v>
      </c>
      <c r="B1" s="4" t="s">
        <v>48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2114</v>
      </c>
      <c r="B7" s="18" t="s">
        <v>2115</v>
      </c>
      <c r="C7" s="14" t="s">
        <v>2116</v>
      </c>
      <c r="D7" s="14" t="s">
        <v>84</v>
      </c>
      <c r="E7" s="19">
        <v>10685400</v>
      </c>
      <c r="F7" s="20">
        <v>10830.0483</v>
      </c>
      <c r="G7" s="21">
        <v>4.4999999999999997E-3</v>
      </c>
      <c r="H7" s="22">
        <v>5.9247000000000001E-2</v>
      </c>
      <c r="I7" s="23"/>
    </row>
    <row r="8" spans="1:9" ht="12.9" customHeight="1">
      <c r="A8" s="17" t="s">
        <v>2117</v>
      </c>
      <c r="B8" s="18" t="s">
        <v>2118</v>
      </c>
      <c r="C8" s="14" t="s">
        <v>2119</v>
      </c>
      <c r="D8" s="14" t="s">
        <v>84</v>
      </c>
      <c r="E8" s="19">
        <v>9500000</v>
      </c>
      <c r="F8" s="20">
        <v>9513.6895000000004</v>
      </c>
      <c r="G8" s="21">
        <v>3.8999999999999998E-3</v>
      </c>
      <c r="H8" s="22">
        <v>5.5162999999999997E-2</v>
      </c>
      <c r="I8" s="23"/>
    </row>
    <row r="9" spans="1:9" ht="12.9" customHeight="1">
      <c r="A9" s="17" t="s">
        <v>2120</v>
      </c>
      <c r="B9" s="18" t="s">
        <v>2121</v>
      </c>
      <c r="C9" s="14" t="s">
        <v>2122</v>
      </c>
      <c r="D9" s="14" t="s">
        <v>84</v>
      </c>
      <c r="E9" s="19">
        <v>7745000</v>
      </c>
      <c r="F9" s="20">
        <v>7835.7637000000004</v>
      </c>
      <c r="G9" s="21">
        <v>3.2000000000000002E-3</v>
      </c>
      <c r="H9" s="22">
        <v>5.6709000000000002E-2</v>
      </c>
      <c r="I9" s="23"/>
    </row>
    <row r="10" spans="1:9" ht="12.9" customHeight="1">
      <c r="A10" s="17" t="s">
        <v>2123</v>
      </c>
      <c r="B10" s="18" t="s">
        <v>2124</v>
      </c>
      <c r="C10" s="14" t="s">
        <v>2125</v>
      </c>
      <c r="D10" s="14" t="s">
        <v>84</v>
      </c>
      <c r="E10" s="19">
        <v>7500000</v>
      </c>
      <c r="F10" s="20">
        <v>7586.6324999999997</v>
      </c>
      <c r="G10" s="21">
        <v>3.0999999999999999E-3</v>
      </c>
      <c r="H10" s="22">
        <v>5.6953999999999998E-2</v>
      </c>
      <c r="I10" s="23"/>
    </row>
    <row r="11" spans="1:9" ht="12.9" customHeight="1">
      <c r="A11" s="17" t="s">
        <v>1761</v>
      </c>
      <c r="B11" s="18" t="s">
        <v>1762</v>
      </c>
      <c r="C11" s="14" t="s">
        <v>1763</v>
      </c>
      <c r="D11" s="14" t="s">
        <v>84</v>
      </c>
      <c r="E11" s="19">
        <v>6500000</v>
      </c>
      <c r="F11" s="20">
        <v>6536.348</v>
      </c>
      <c r="G11" s="21">
        <v>2.7000000000000001E-3</v>
      </c>
      <c r="H11" s="22">
        <v>5.4650999999999998E-2</v>
      </c>
      <c r="I11" s="23"/>
    </row>
    <row r="12" spans="1:9" ht="12.9" customHeight="1">
      <c r="A12" s="17" t="s">
        <v>2126</v>
      </c>
      <c r="B12" s="18" t="s">
        <v>2127</v>
      </c>
      <c r="C12" s="14" t="s">
        <v>2128</v>
      </c>
      <c r="D12" s="14" t="s">
        <v>84</v>
      </c>
      <c r="E12" s="19">
        <v>3500000</v>
      </c>
      <c r="F12" s="20">
        <v>3520.0340000000001</v>
      </c>
      <c r="G12" s="21">
        <v>1.4E-3</v>
      </c>
      <c r="H12" s="22">
        <v>5.5291E-2</v>
      </c>
      <c r="I12" s="23"/>
    </row>
    <row r="13" spans="1:9" ht="12.9" customHeight="1">
      <c r="A13" s="17" t="s">
        <v>2129</v>
      </c>
      <c r="B13" s="18" t="s">
        <v>2130</v>
      </c>
      <c r="C13" s="14" t="s">
        <v>2131</v>
      </c>
      <c r="D13" s="14" t="s">
        <v>84</v>
      </c>
      <c r="E13" s="19">
        <v>800000</v>
      </c>
      <c r="F13" s="20">
        <v>802.47360000000003</v>
      </c>
      <c r="G13" s="21">
        <v>2.9999999999999997E-4</v>
      </c>
      <c r="H13" s="22">
        <v>5.4151999999999999E-2</v>
      </c>
      <c r="I13" s="23"/>
    </row>
    <row r="14" spans="1:9" ht="12.9" customHeight="1">
      <c r="A14" s="17" t="s">
        <v>2132</v>
      </c>
      <c r="B14" s="18" t="s">
        <v>2133</v>
      </c>
      <c r="C14" s="14" t="s">
        <v>2134</v>
      </c>
      <c r="D14" s="14" t="s">
        <v>84</v>
      </c>
      <c r="E14" s="19">
        <v>500000</v>
      </c>
      <c r="F14" s="20">
        <v>503.41</v>
      </c>
      <c r="G14" s="21">
        <v>2.0000000000000001E-4</v>
      </c>
      <c r="H14" s="22">
        <v>5.5537000000000003E-2</v>
      </c>
      <c r="I14" s="23"/>
    </row>
    <row r="15" spans="1:9" ht="12.9" customHeight="1">
      <c r="A15" s="5"/>
      <c r="B15" s="13" t="s">
        <v>88</v>
      </c>
      <c r="C15" s="14"/>
      <c r="D15" s="14"/>
      <c r="E15" s="14"/>
      <c r="F15" s="24">
        <v>47128.3995</v>
      </c>
      <c r="G15" s="25">
        <v>1.9400000000000001E-2</v>
      </c>
      <c r="H15" s="26"/>
      <c r="I15" s="27"/>
    </row>
    <row r="16" spans="1:9" ht="12.9" customHeight="1">
      <c r="A16" s="5"/>
      <c r="B16" s="28" t="s">
        <v>89</v>
      </c>
      <c r="C16" s="2"/>
      <c r="D16" s="2"/>
      <c r="E16" s="2"/>
      <c r="F16" s="26" t="s">
        <v>90</v>
      </c>
      <c r="G16" s="26" t="s">
        <v>90</v>
      </c>
      <c r="H16" s="26"/>
      <c r="I16" s="27"/>
    </row>
    <row r="17" spans="1:9" ht="12.9" customHeight="1">
      <c r="A17" s="5"/>
      <c r="B17" s="28" t="s">
        <v>88</v>
      </c>
      <c r="C17" s="2"/>
      <c r="D17" s="2"/>
      <c r="E17" s="2"/>
      <c r="F17" s="26" t="s">
        <v>90</v>
      </c>
      <c r="G17" s="26" t="s">
        <v>90</v>
      </c>
      <c r="H17" s="26"/>
      <c r="I17" s="27"/>
    </row>
    <row r="18" spans="1:9" ht="12.9" customHeight="1">
      <c r="A18" s="5"/>
      <c r="B18" s="28" t="s">
        <v>91</v>
      </c>
      <c r="C18" s="29"/>
      <c r="D18" s="2"/>
      <c r="E18" s="29"/>
      <c r="F18" s="24">
        <v>47128.3995</v>
      </c>
      <c r="G18" s="25">
        <v>1.9400000000000001E-2</v>
      </c>
      <c r="H18" s="26"/>
      <c r="I18" s="27"/>
    </row>
    <row r="19" spans="1:9" ht="12.9" customHeight="1">
      <c r="A19" s="5"/>
      <c r="B19" s="13" t="s">
        <v>311</v>
      </c>
      <c r="C19" s="14"/>
      <c r="D19" s="14"/>
      <c r="E19" s="14"/>
      <c r="F19" s="14"/>
      <c r="G19" s="14"/>
      <c r="H19" s="15"/>
      <c r="I19" s="16"/>
    </row>
    <row r="20" spans="1:9" ht="12.9" customHeight="1">
      <c r="A20" s="5"/>
      <c r="B20" s="13" t="s">
        <v>762</v>
      </c>
      <c r="C20" s="14"/>
      <c r="D20" s="14"/>
      <c r="E20" s="14"/>
      <c r="F20" s="5"/>
      <c r="G20" s="15"/>
      <c r="H20" s="15"/>
      <c r="I20" s="16"/>
    </row>
    <row r="21" spans="1:9" ht="12.9" customHeight="1">
      <c r="A21" s="17" t="s">
        <v>2135</v>
      </c>
      <c r="B21" s="18" t="s">
        <v>2136</v>
      </c>
      <c r="C21" s="14" t="s">
        <v>2137</v>
      </c>
      <c r="D21" s="14" t="s">
        <v>770</v>
      </c>
      <c r="E21" s="19">
        <v>17000</v>
      </c>
      <c r="F21" s="20">
        <v>83619.345000000001</v>
      </c>
      <c r="G21" s="21">
        <v>3.44E-2</v>
      </c>
      <c r="H21" s="22">
        <v>6.0876E-2</v>
      </c>
      <c r="I21" s="23"/>
    </row>
    <row r="22" spans="1:9" ht="12.9" customHeight="1">
      <c r="A22" s="17" t="s">
        <v>1584</v>
      </c>
      <c r="B22" s="18" t="s">
        <v>1585</v>
      </c>
      <c r="C22" s="14" t="s">
        <v>1586</v>
      </c>
      <c r="D22" s="14" t="s">
        <v>1583</v>
      </c>
      <c r="E22" s="19">
        <v>12500</v>
      </c>
      <c r="F22" s="20">
        <v>60849.25</v>
      </c>
      <c r="G22" s="21">
        <v>2.5000000000000001E-2</v>
      </c>
      <c r="H22" s="22">
        <v>6.4298999999999995E-2</v>
      </c>
      <c r="I22" s="23"/>
    </row>
    <row r="23" spans="1:9" ht="12.9" customHeight="1">
      <c r="A23" s="17" t="s">
        <v>2138</v>
      </c>
      <c r="B23" s="18" t="s">
        <v>2139</v>
      </c>
      <c r="C23" s="14" t="s">
        <v>2140</v>
      </c>
      <c r="D23" s="14" t="s">
        <v>770</v>
      </c>
      <c r="E23" s="19">
        <v>11600</v>
      </c>
      <c r="F23" s="20">
        <v>57059.82</v>
      </c>
      <c r="G23" s="21">
        <v>2.3400000000000001E-2</v>
      </c>
      <c r="H23" s="22">
        <v>6.0750999999999999E-2</v>
      </c>
      <c r="I23" s="23"/>
    </row>
    <row r="24" spans="1:9" ht="12.9" customHeight="1">
      <c r="A24" s="17" t="s">
        <v>1875</v>
      </c>
      <c r="B24" s="18" t="s">
        <v>1876</v>
      </c>
      <c r="C24" s="14" t="s">
        <v>1877</v>
      </c>
      <c r="D24" s="14" t="s">
        <v>770</v>
      </c>
      <c r="E24" s="19">
        <v>10000</v>
      </c>
      <c r="F24" s="20">
        <v>49306.7</v>
      </c>
      <c r="G24" s="21">
        <v>2.0299999999999999E-2</v>
      </c>
      <c r="H24" s="22">
        <v>6.1099000000000001E-2</v>
      </c>
      <c r="I24" s="23"/>
    </row>
    <row r="25" spans="1:9" ht="12.9" customHeight="1">
      <c r="A25" s="17" t="s">
        <v>2141</v>
      </c>
      <c r="B25" s="18" t="s">
        <v>2142</v>
      </c>
      <c r="C25" s="14" t="s">
        <v>2143</v>
      </c>
      <c r="D25" s="14" t="s">
        <v>1583</v>
      </c>
      <c r="E25" s="19">
        <v>10000</v>
      </c>
      <c r="F25" s="20">
        <v>49074.95</v>
      </c>
      <c r="G25" s="21">
        <v>2.0199999999999999E-2</v>
      </c>
      <c r="H25" s="22">
        <v>6.4299499999999996E-2</v>
      </c>
      <c r="I25" s="23"/>
    </row>
    <row r="26" spans="1:9" ht="12.9" customHeight="1">
      <c r="A26" s="17" t="s">
        <v>2144</v>
      </c>
      <c r="B26" s="18" t="s">
        <v>2145</v>
      </c>
      <c r="C26" s="14" t="s">
        <v>2146</v>
      </c>
      <c r="D26" s="14" t="s">
        <v>1583</v>
      </c>
      <c r="E26" s="19">
        <v>10000</v>
      </c>
      <c r="F26" s="20">
        <v>48718.65</v>
      </c>
      <c r="G26" s="21">
        <v>0.02</v>
      </c>
      <c r="H26" s="22">
        <v>6.3999E-2</v>
      </c>
      <c r="I26" s="23"/>
    </row>
    <row r="27" spans="1:9" ht="12.9" customHeight="1">
      <c r="A27" s="17" t="s">
        <v>2147</v>
      </c>
      <c r="B27" s="18" t="s">
        <v>2148</v>
      </c>
      <c r="C27" s="14" t="s">
        <v>2149</v>
      </c>
      <c r="D27" s="14" t="s">
        <v>1583</v>
      </c>
      <c r="E27" s="19">
        <v>10000</v>
      </c>
      <c r="F27" s="20">
        <v>48546.15</v>
      </c>
      <c r="G27" s="21">
        <v>1.9900000000000001E-2</v>
      </c>
      <c r="H27" s="22">
        <v>6.4300999999999997E-2</v>
      </c>
      <c r="I27" s="23"/>
    </row>
    <row r="28" spans="1:9" ht="12.9" customHeight="1">
      <c r="A28" s="17" t="s">
        <v>2150</v>
      </c>
      <c r="B28" s="18" t="s">
        <v>2151</v>
      </c>
      <c r="C28" s="14" t="s">
        <v>2152</v>
      </c>
      <c r="D28" s="14" t="s">
        <v>1583</v>
      </c>
      <c r="E28" s="19">
        <v>10000</v>
      </c>
      <c r="F28" s="20">
        <v>47374.65</v>
      </c>
      <c r="G28" s="21">
        <v>1.95E-2</v>
      </c>
      <c r="H28" s="22">
        <v>6.7199999999999996E-2</v>
      </c>
      <c r="I28" s="23"/>
    </row>
    <row r="29" spans="1:9" ht="12.9" customHeight="1">
      <c r="A29" s="17" t="s">
        <v>2153</v>
      </c>
      <c r="B29" s="18" t="s">
        <v>2154</v>
      </c>
      <c r="C29" s="14" t="s">
        <v>2155</v>
      </c>
      <c r="D29" s="14" t="s">
        <v>770</v>
      </c>
      <c r="E29" s="19">
        <v>9500</v>
      </c>
      <c r="F29" s="20">
        <v>46282.717499999999</v>
      </c>
      <c r="G29" s="21">
        <v>1.9E-2</v>
      </c>
      <c r="H29" s="22">
        <v>6.3999E-2</v>
      </c>
      <c r="I29" s="23"/>
    </row>
    <row r="30" spans="1:9" ht="12.9" customHeight="1">
      <c r="A30" s="17" t="s">
        <v>1800</v>
      </c>
      <c r="B30" s="18" t="s">
        <v>1801</v>
      </c>
      <c r="C30" s="14" t="s">
        <v>1802</v>
      </c>
      <c r="D30" s="14" t="s">
        <v>1583</v>
      </c>
      <c r="E30" s="19">
        <v>9000</v>
      </c>
      <c r="F30" s="20">
        <v>44452.35</v>
      </c>
      <c r="G30" s="21">
        <v>1.83E-2</v>
      </c>
      <c r="H30" s="22">
        <v>6.1601000000000003E-2</v>
      </c>
      <c r="I30" s="23"/>
    </row>
    <row r="31" spans="1:9" ht="12.9" customHeight="1">
      <c r="A31" s="17" t="s">
        <v>1605</v>
      </c>
      <c r="B31" s="18" t="s">
        <v>1606</v>
      </c>
      <c r="C31" s="14" t="s">
        <v>1607</v>
      </c>
      <c r="D31" s="14" t="s">
        <v>770</v>
      </c>
      <c r="E31" s="19">
        <v>8000</v>
      </c>
      <c r="F31" s="20">
        <v>39436</v>
      </c>
      <c r="G31" s="21">
        <v>1.6199999999999999E-2</v>
      </c>
      <c r="H31" s="22">
        <v>6.0699000000000003E-2</v>
      </c>
      <c r="I31" s="23"/>
    </row>
    <row r="32" spans="1:9" ht="12.9" customHeight="1">
      <c r="A32" s="17" t="s">
        <v>2156</v>
      </c>
      <c r="B32" s="18" t="s">
        <v>2157</v>
      </c>
      <c r="C32" s="14" t="s">
        <v>2158</v>
      </c>
      <c r="D32" s="14" t="s">
        <v>770</v>
      </c>
      <c r="E32" s="19">
        <v>8000</v>
      </c>
      <c r="F32" s="20">
        <v>38783.879999999997</v>
      </c>
      <c r="G32" s="21">
        <v>1.5900000000000001E-2</v>
      </c>
      <c r="H32" s="22">
        <v>6.54E-2</v>
      </c>
      <c r="I32" s="23"/>
    </row>
    <row r="33" spans="1:9" ht="12.9" customHeight="1">
      <c r="A33" s="17" t="s">
        <v>767</v>
      </c>
      <c r="B33" s="18" t="s">
        <v>768</v>
      </c>
      <c r="C33" s="14" t="s">
        <v>769</v>
      </c>
      <c r="D33" s="14" t="s">
        <v>770</v>
      </c>
      <c r="E33" s="19">
        <v>7500</v>
      </c>
      <c r="F33" s="20">
        <v>36972.974999999999</v>
      </c>
      <c r="G33" s="21">
        <v>1.52E-2</v>
      </c>
      <c r="H33" s="22">
        <v>6.0499999999999998E-2</v>
      </c>
      <c r="I33" s="23"/>
    </row>
    <row r="34" spans="1:9" ht="12.9" customHeight="1">
      <c r="A34" s="17" t="s">
        <v>1590</v>
      </c>
      <c r="B34" s="18" t="s">
        <v>1591</v>
      </c>
      <c r="C34" s="14" t="s">
        <v>1592</v>
      </c>
      <c r="D34" s="14" t="s">
        <v>1583</v>
      </c>
      <c r="E34" s="19">
        <v>7500</v>
      </c>
      <c r="F34" s="20">
        <v>36934.462500000001</v>
      </c>
      <c r="G34" s="21">
        <v>1.52E-2</v>
      </c>
      <c r="H34" s="22">
        <v>6.0749999999999998E-2</v>
      </c>
      <c r="I34" s="23"/>
    </row>
    <row r="35" spans="1:9" ht="12.9" customHeight="1">
      <c r="A35" s="17" t="s">
        <v>2159</v>
      </c>
      <c r="B35" s="18" t="s">
        <v>2160</v>
      </c>
      <c r="C35" s="14" t="s">
        <v>2161</v>
      </c>
      <c r="D35" s="14" t="s">
        <v>770</v>
      </c>
      <c r="E35" s="19">
        <v>7000</v>
      </c>
      <c r="F35" s="20">
        <v>34787.375</v>
      </c>
      <c r="G35" s="21">
        <v>1.43E-2</v>
      </c>
      <c r="H35" s="22">
        <v>6.3745999999999997E-2</v>
      </c>
      <c r="I35" s="23"/>
    </row>
    <row r="36" spans="1:9" ht="12.9" customHeight="1">
      <c r="A36" s="17" t="s">
        <v>2162</v>
      </c>
      <c r="B36" s="18" t="s">
        <v>2163</v>
      </c>
      <c r="C36" s="14" t="s">
        <v>2164</v>
      </c>
      <c r="D36" s="14" t="s">
        <v>766</v>
      </c>
      <c r="E36" s="19">
        <v>7000</v>
      </c>
      <c r="F36" s="20">
        <v>34103.754999999997</v>
      </c>
      <c r="G36" s="21">
        <v>1.4E-2</v>
      </c>
      <c r="H36" s="22">
        <v>6.3949000000000006E-2</v>
      </c>
      <c r="I36" s="23"/>
    </row>
    <row r="37" spans="1:9" ht="12.9" customHeight="1">
      <c r="A37" s="17" t="s">
        <v>2165</v>
      </c>
      <c r="B37" s="18" t="s">
        <v>2166</v>
      </c>
      <c r="C37" s="14" t="s">
        <v>2167</v>
      </c>
      <c r="D37" s="14" t="s">
        <v>770</v>
      </c>
      <c r="E37" s="19">
        <v>7000</v>
      </c>
      <c r="F37" s="20">
        <v>34088.355000000003</v>
      </c>
      <c r="G37" s="21">
        <v>1.4E-2</v>
      </c>
      <c r="H37" s="22">
        <v>6.3799999999999996E-2</v>
      </c>
      <c r="I37" s="23"/>
    </row>
    <row r="38" spans="1:9" ht="12.9" customHeight="1">
      <c r="A38" s="17" t="s">
        <v>2168</v>
      </c>
      <c r="B38" s="18" t="s">
        <v>2169</v>
      </c>
      <c r="C38" s="14" t="s">
        <v>2170</v>
      </c>
      <c r="D38" s="14" t="s">
        <v>766</v>
      </c>
      <c r="E38" s="19">
        <v>7000</v>
      </c>
      <c r="F38" s="20">
        <v>34074.635000000002</v>
      </c>
      <c r="G38" s="21">
        <v>1.4E-2</v>
      </c>
      <c r="H38" s="22">
        <v>6.3950000000000007E-2</v>
      </c>
      <c r="I38" s="23"/>
    </row>
    <row r="39" spans="1:9" ht="12.9" customHeight="1">
      <c r="A39" s="17" t="s">
        <v>2171</v>
      </c>
      <c r="B39" s="18" t="s">
        <v>2172</v>
      </c>
      <c r="C39" s="14" t="s">
        <v>2173</v>
      </c>
      <c r="D39" s="14" t="s">
        <v>770</v>
      </c>
      <c r="E39" s="19">
        <v>7000</v>
      </c>
      <c r="F39" s="20">
        <v>33940.69</v>
      </c>
      <c r="G39" s="21">
        <v>1.3899999999999999E-2</v>
      </c>
      <c r="H39" s="22">
        <v>6.4000000000000001E-2</v>
      </c>
      <c r="I39" s="23"/>
    </row>
    <row r="40" spans="1:9" ht="12.9" customHeight="1">
      <c r="A40" s="17" t="s">
        <v>2174</v>
      </c>
      <c r="B40" s="18" t="s">
        <v>2175</v>
      </c>
      <c r="C40" s="14" t="s">
        <v>2176</v>
      </c>
      <c r="D40" s="14" t="s">
        <v>770</v>
      </c>
      <c r="E40" s="19">
        <v>6000</v>
      </c>
      <c r="F40" s="20">
        <v>29632.560000000001</v>
      </c>
      <c r="G40" s="21">
        <v>1.2200000000000001E-2</v>
      </c>
      <c r="H40" s="22">
        <v>6.2002000000000002E-2</v>
      </c>
      <c r="I40" s="23"/>
    </row>
    <row r="41" spans="1:9" ht="12.9" customHeight="1">
      <c r="A41" s="17" t="s">
        <v>2177</v>
      </c>
      <c r="B41" s="18" t="s">
        <v>2178</v>
      </c>
      <c r="C41" s="14" t="s">
        <v>2179</v>
      </c>
      <c r="D41" s="14" t="s">
        <v>766</v>
      </c>
      <c r="E41" s="19">
        <v>6000</v>
      </c>
      <c r="F41" s="20">
        <v>29583.21</v>
      </c>
      <c r="G41" s="21">
        <v>1.2200000000000001E-2</v>
      </c>
      <c r="H41" s="22">
        <v>6.0498000000000003E-2</v>
      </c>
      <c r="I41" s="23"/>
    </row>
    <row r="42" spans="1:9" ht="12.9" customHeight="1">
      <c r="A42" s="17" t="s">
        <v>2180</v>
      </c>
      <c r="B42" s="18" t="s">
        <v>2181</v>
      </c>
      <c r="C42" s="14" t="s">
        <v>2182</v>
      </c>
      <c r="D42" s="14" t="s">
        <v>770</v>
      </c>
      <c r="E42" s="19">
        <v>6000</v>
      </c>
      <c r="F42" s="20">
        <v>29518.65</v>
      </c>
      <c r="G42" s="21">
        <v>1.21E-2</v>
      </c>
      <c r="H42" s="22">
        <v>6.0735999999999998E-2</v>
      </c>
      <c r="I42" s="23"/>
    </row>
    <row r="43" spans="1:9" ht="12.9" customHeight="1">
      <c r="A43" s="17" t="s">
        <v>1872</v>
      </c>
      <c r="B43" s="18" t="s">
        <v>1873</v>
      </c>
      <c r="C43" s="14" t="s">
        <v>1874</v>
      </c>
      <c r="D43" s="14" t="s">
        <v>770</v>
      </c>
      <c r="E43" s="19">
        <v>5000</v>
      </c>
      <c r="F43" s="20">
        <v>24734.15</v>
      </c>
      <c r="G43" s="21">
        <v>1.0200000000000001E-2</v>
      </c>
      <c r="H43" s="22">
        <v>6.1298999999999999E-2</v>
      </c>
      <c r="I43" s="23"/>
    </row>
    <row r="44" spans="1:9" ht="12.9" customHeight="1">
      <c r="A44" s="17" t="s">
        <v>2183</v>
      </c>
      <c r="B44" s="18" t="s">
        <v>2184</v>
      </c>
      <c r="C44" s="14" t="s">
        <v>2185</v>
      </c>
      <c r="D44" s="14" t="s">
        <v>770</v>
      </c>
      <c r="E44" s="19">
        <v>5000</v>
      </c>
      <c r="F44" s="20">
        <v>24335.924999999999</v>
      </c>
      <c r="G44" s="21">
        <v>0.01</v>
      </c>
      <c r="H44" s="22">
        <v>6.6400000000000001E-2</v>
      </c>
      <c r="I44" s="23"/>
    </row>
    <row r="45" spans="1:9" ht="12.9" customHeight="1">
      <c r="A45" s="17" t="s">
        <v>1587</v>
      </c>
      <c r="B45" s="18" t="s">
        <v>1588</v>
      </c>
      <c r="C45" s="14" t="s">
        <v>1589</v>
      </c>
      <c r="D45" s="14" t="s">
        <v>770</v>
      </c>
      <c r="E45" s="19">
        <v>5000</v>
      </c>
      <c r="F45" s="20">
        <v>24333.525000000001</v>
      </c>
      <c r="G45" s="21">
        <v>0.01</v>
      </c>
      <c r="H45" s="22">
        <v>6.4498E-2</v>
      </c>
      <c r="I45" s="23"/>
    </row>
    <row r="46" spans="1:9" ht="12.9" customHeight="1">
      <c r="A46" s="17" t="s">
        <v>2186</v>
      </c>
      <c r="B46" s="18" t="s">
        <v>2187</v>
      </c>
      <c r="C46" s="14" t="s">
        <v>2188</v>
      </c>
      <c r="D46" s="14" t="s">
        <v>770</v>
      </c>
      <c r="E46" s="19">
        <v>5000</v>
      </c>
      <c r="F46" s="20">
        <v>23892.95</v>
      </c>
      <c r="G46" s="21">
        <v>9.7999999999999997E-3</v>
      </c>
      <c r="H46" s="22">
        <v>6.5549999999999997E-2</v>
      </c>
      <c r="I46" s="23"/>
    </row>
    <row r="47" spans="1:9" ht="12.9" customHeight="1">
      <c r="A47" s="17" t="s">
        <v>2189</v>
      </c>
      <c r="B47" s="18" t="s">
        <v>2190</v>
      </c>
      <c r="C47" s="14" t="s">
        <v>2191</v>
      </c>
      <c r="D47" s="14" t="s">
        <v>770</v>
      </c>
      <c r="E47" s="19">
        <v>5000</v>
      </c>
      <c r="F47" s="20">
        <v>23637.724999999999</v>
      </c>
      <c r="G47" s="21">
        <v>9.7000000000000003E-3</v>
      </c>
      <c r="H47" s="22">
        <v>6.615E-2</v>
      </c>
      <c r="I47" s="23"/>
    </row>
    <row r="48" spans="1:9" ht="12.9" customHeight="1">
      <c r="A48" s="17" t="s">
        <v>2192</v>
      </c>
      <c r="B48" s="18" t="s">
        <v>2193</v>
      </c>
      <c r="C48" s="14" t="s">
        <v>2194</v>
      </c>
      <c r="D48" s="14" t="s">
        <v>770</v>
      </c>
      <c r="E48" s="19">
        <v>4000</v>
      </c>
      <c r="F48" s="20">
        <v>19714.78</v>
      </c>
      <c r="G48" s="21">
        <v>8.0999999999999996E-3</v>
      </c>
      <c r="H48" s="22">
        <v>6.0698000000000002E-2</v>
      </c>
      <c r="I48" s="23"/>
    </row>
    <row r="49" spans="1:9" ht="12.9" customHeight="1">
      <c r="A49" s="17" t="s">
        <v>2195</v>
      </c>
      <c r="B49" s="18" t="s">
        <v>2196</v>
      </c>
      <c r="C49" s="14" t="s">
        <v>2197</v>
      </c>
      <c r="D49" s="14" t="s">
        <v>766</v>
      </c>
      <c r="E49" s="19">
        <v>4000</v>
      </c>
      <c r="F49" s="20">
        <v>19618.18</v>
      </c>
      <c r="G49" s="21">
        <v>8.0999999999999996E-3</v>
      </c>
      <c r="H49" s="22">
        <v>6.3999E-2</v>
      </c>
      <c r="I49" s="23"/>
    </row>
    <row r="50" spans="1:9" ht="12.9" customHeight="1">
      <c r="A50" s="17" t="s">
        <v>2198</v>
      </c>
      <c r="B50" s="18" t="s">
        <v>2199</v>
      </c>
      <c r="C50" s="14" t="s">
        <v>2200</v>
      </c>
      <c r="D50" s="14" t="s">
        <v>770</v>
      </c>
      <c r="E50" s="19">
        <v>4000</v>
      </c>
      <c r="F50" s="20">
        <v>19191.259999999998</v>
      </c>
      <c r="G50" s="21">
        <v>7.9000000000000008E-3</v>
      </c>
      <c r="H50" s="22">
        <v>6.6299999999999998E-2</v>
      </c>
      <c r="I50" s="23"/>
    </row>
    <row r="51" spans="1:9" ht="12.9" customHeight="1">
      <c r="A51" s="17" t="s">
        <v>2201</v>
      </c>
      <c r="B51" s="18" t="s">
        <v>2202</v>
      </c>
      <c r="C51" s="14" t="s">
        <v>2203</v>
      </c>
      <c r="D51" s="14" t="s">
        <v>1583</v>
      </c>
      <c r="E51" s="19">
        <v>4000</v>
      </c>
      <c r="F51" s="20">
        <v>18903.68</v>
      </c>
      <c r="G51" s="21">
        <v>7.7999999999999996E-3</v>
      </c>
      <c r="H51" s="22">
        <v>6.7199999999999996E-2</v>
      </c>
      <c r="I51" s="23"/>
    </row>
    <row r="52" spans="1:9" ht="12.9" customHeight="1">
      <c r="A52" s="17" t="s">
        <v>1580</v>
      </c>
      <c r="B52" s="18" t="s">
        <v>1581</v>
      </c>
      <c r="C52" s="14" t="s">
        <v>1582</v>
      </c>
      <c r="D52" s="14" t="s">
        <v>1583</v>
      </c>
      <c r="E52" s="19">
        <v>3800</v>
      </c>
      <c r="F52" s="20">
        <v>18446.91</v>
      </c>
      <c r="G52" s="21">
        <v>7.6E-3</v>
      </c>
      <c r="H52" s="22">
        <v>6.4000000000000001E-2</v>
      </c>
      <c r="I52" s="23"/>
    </row>
    <row r="53" spans="1:9" ht="12.9" customHeight="1">
      <c r="A53" s="17" t="s">
        <v>763</v>
      </c>
      <c r="B53" s="18" t="s">
        <v>764</v>
      </c>
      <c r="C53" s="14" t="s">
        <v>765</v>
      </c>
      <c r="D53" s="14" t="s">
        <v>766</v>
      </c>
      <c r="E53" s="19">
        <v>3500</v>
      </c>
      <c r="F53" s="20">
        <v>17297.314999999999</v>
      </c>
      <c r="G53" s="21">
        <v>7.1000000000000004E-3</v>
      </c>
      <c r="H53" s="22">
        <v>6.1100000000000002E-2</v>
      </c>
      <c r="I53" s="23"/>
    </row>
    <row r="54" spans="1:9" ht="12.9" customHeight="1">
      <c r="A54" s="17" t="s">
        <v>1845</v>
      </c>
      <c r="B54" s="18" t="s">
        <v>1846</v>
      </c>
      <c r="C54" s="14" t="s">
        <v>1847</v>
      </c>
      <c r="D54" s="14" t="s">
        <v>770</v>
      </c>
      <c r="E54" s="19">
        <v>3000</v>
      </c>
      <c r="F54" s="20">
        <v>14997.735000000001</v>
      </c>
      <c r="G54" s="21">
        <v>6.1999999999999998E-3</v>
      </c>
      <c r="H54" s="22">
        <v>5.4948999999999998E-2</v>
      </c>
      <c r="I54" s="23"/>
    </row>
    <row r="55" spans="1:9" ht="12.9" customHeight="1">
      <c r="A55" s="17" t="s">
        <v>2204</v>
      </c>
      <c r="B55" s="18" t="s">
        <v>2205</v>
      </c>
      <c r="C55" s="14" t="s">
        <v>2206</v>
      </c>
      <c r="D55" s="14" t="s">
        <v>770</v>
      </c>
      <c r="E55" s="19">
        <v>3000</v>
      </c>
      <c r="F55" s="20">
        <v>14824.995000000001</v>
      </c>
      <c r="G55" s="21">
        <v>6.1000000000000004E-3</v>
      </c>
      <c r="H55" s="22">
        <v>6.2447999999999997E-2</v>
      </c>
      <c r="I55" s="23"/>
    </row>
    <row r="56" spans="1:9" ht="12.9" customHeight="1">
      <c r="A56" s="17" t="s">
        <v>1596</v>
      </c>
      <c r="B56" s="18" t="s">
        <v>1597</v>
      </c>
      <c r="C56" s="14" t="s">
        <v>1598</v>
      </c>
      <c r="D56" s="14" t="s">
        <v>770</v>
      </c>
      <c r="E56" s="19">
        <v>3000</v>
      </c>
      <c r="F56" s="20">
        <v>14816.865</v>
      </c>
      <c r="G56" s="21">
        <v>6.1000000000000004E-3</v>
      </c>
      <c r="H56" s="22">
        <v>6.1800000000000001E-2</v>
      </c>
      <c r="I56" s="23"/>
    </row>
    <row r="57" spans="1:9" ht="12.9" customHeight="1">
      <c r="A57" s="17" t="s">
        <v>2207</v>
      </c>
      <c r="B57" s="18" t="s">
        <v>2208</v>
      </c>
      <c r="C57" s="14" t="s">
        <v>2209</v>
      </c>
      <c r="D57" s="14" t="s">
        <v>766</v>
      </c>
      <c r="E57" s="19">
        <v>3000</v>
      </c>
      <c r="F57" s="20">
        <v>14793.36</v>
      </c>
      <c r="G57" s="21">
        <v>6.1000000000000004E-3</v>
      </c>
      <c r="H57" s="22">
        <v>6.0698000000000002E-2</v>
      </c>
      <c r="I57" s="23"/>
    </row>
    <row r="58" spans="1:9" ht="12.9" customHeight="1">
      <c r="A58" s="17" t="s">
        <v>2210</v>
      </c>
      <c r="B58" s="18" t="s">
        <v>2211</v>
      </c>
      <c r="C58" s="14" t="s">
        <v>2212</v>
      </c>
      <c r="D58" s="14" t="s">
        <v>770</v>
      </c>
      <c r="E58" s="19">
        <v>3000</v>
      </c>
      <c r="F58" s="20">
        <v>14654.205</v>
      </c>
      <c r="G58" s="21">
        <v>6.0000000000000001E-3</v>
      </c>
      <c r="H58" s="22">
        <v>6.3799999999999996E-2</v>
      </c>
      <c r="I58" s="23"/>
    </row>
    <row r="59" spans="1:9" ht="12.9" customHeight="1">
      <c r="A59" s="17" t="s">
        <v>2213</v>
      </c>
      <c r="B59" s="18" t="s">
        <v>2214</v>
      </c>
      <c r="C59" s="14" t="s">
        <v>2215</v>
      </c>
      <c r="D59" s="14" t="s">
        <v>1583</v>
      </c>
      <c r="E59" s="19">
        <v>3000</v>
      </c>
      <c r="F59" s="20">
        <v>14301.21</v>
      </c>
      <c r="G59" s="21">
        <v>5.8999999999999999E-3</v>
      </c>
      <c r="H59" s="22">
        <v>6.6299999999999998E-2</v>
      </c>
      <c r="I59" s="23"/>
    </row>
    <row r="60" spans="1:9" ht="12.9" customHeight="1">
      <c r="A60" s="17" t="s">
        <v>2216</v>
      </c>
      <c r="B60" s="18" t="s">
        <v>2217</v>
      </c>
      <c r="C60" s="14" t="s">
        <v>2218</v>
      </c>
      <c r="D60" s="14" t="s">
        <v>1583</v>
      </c>
      <c r="E60" s="19">
        <v>3000</v>
      </c>
      <c r="F60" s="20">
        <v>14143.83</v>
      </c>
      <c r="G60" s="21">
        <v>5.7999999999999996E-3</v>
      </c>
      <c r="H60" s="22">
        <v>6.6549999999999998E-2</v>
      </c>
      <c r="I60" s="23"/>
    </row>
    <row r="61" spans="1:9" ht="12.9" customHeight="1">
      <c r="A61" s="17" t="s">
        <v>2219</v>
      </c>
      <c r="B61" s="18" t="s">
        <v>2220</v>
      </c>
      <c r="C61" s="14" t="s">
        <v>2221</v>
      </c>
      <c r="D61" s="14" t="s">
        <v>766</v>
      </c>
      <c r="E61" s="19">
        <v>2500</v>
      </c>
      <c r="F61" s="20">
        <v>12322.3125</v>
      </c>
      <c r="G61" s="21">
        <v>5.1000000000000004E-3</v>
      </c>
      <c r="H61" s="22">
        <v>6.0499999999999998E-2</v>
      </c>
      <c r="I61" s="23"/>
    </row>
    <row r="62" spans="1:9" ht="12.9" customHeight="1">
      <c r="A62" s="17" t="s">
        <v>780</v>
      </c>
      <c r="B62" s="18" t="s">
        <v>781</v>
      </c>
      <c r="C62" s="14" t="s">
        <v>782</v>
      </c>
      <c r="D62" s="14" t="s">
        <v>770</v>
      </c>
      <c r="E62" s="19">
        <v>2500</v>
      </c>
      <c r="F62" s="20">
        <v>12311.487499999999</v>
      </c>
      <c r="G62" s="21">
        <v>5.1000000000000004E-3</v>
      </c>
      <c r="H62" s="22">
        <v>6.0749999999999998E-2</v>
      </c>
      <c r="I62" s="23"/>
    </row>
    <row r="63" spans="1:9" ht="12.9" customHeight="1">
      <c r="A63" s="17" t="s">
        <v>2222</v>
      </c>
      <c r="B63" s="18" t="s">
        <v>2223</v>
      </c>
      <c r="C63" s="14" t="s">
        <v>2224</v>
      </c>
      <c r="D63" s="14" t="s">
        <v>1583</v>
      </c>
      <c r="E63" s="19">
        <v>2400</v>
      </c>
      <c r="F63" s="20">
        <v>11322.516</v>
      </c>
      <c r="G63" s="21">
        <v>4.7000000000000002E-3</v>
      </c>
      <c r="H63" s="22">
        <v>6.7199999999999996E-2</v>
      </c>
      <c r="I63" s="23"/>
    </row>
    <row r="64" spans="1:9" ht="12.9" customHeight="1">
      <c r="A64" s="17" t="s">
        <v>2225</v>
      </c>
      <c r="B64" s="18" t="s">
        <v>2226</v>
      </c>
      <c r="C64" s="14" t="s">
        <v>2227</v>
      </c>
      <c r="D64" s="14" t="s">
        <v>766</v>
      </c>
      <c r="E64" s="19">
        <v>2000</v>
      </c>
      <c r="F64" s="20">
        <v>9890.4599999999991</v>
      </c>
      <c r="G64" s="21">
        <v>4.1000000000000003E-3</v>
      </c>
      <c r="H64" s="22">
        <v>6.1249999999999999E-2</v>
      </c>
      <c r="I64" s="23"/>
    </row>
    <row r="65" spans="1:9" ht="12.9" customHeight="1">
      <c r="A65" s="17" t="s">
        <v>2228</v>
      </c>
      <c r="B65" s="18" t="s">
        <v>2229</v>
      </c>
      <c r="C65" s="14" t="s">
        <v>2230</v>
      </c>
      <c r="D65" s="14" t="s">
        <v>770</v>
      </c>
      <c r="E65" s="19">
        <v>2000</v>
      </c>
      <c r="F65" s="20">
        <v>9889.09</v>
      </c>
      <c r="G65" s="21">
        <v>4.1000000000000003E-3</v>
      </c>
      <c r="H65" s="22">
        <v>6.2026999999999999E-2</v>
      </c>
      <c r="I65" s="23"/>
    </row>
    <row r="66" spans="1:9" ht="12.9" customHeight="1">
      <c r="A66" s="17" t="s">
        <v>2231</v>
      </c>
      <c r="B66" s="18" t="s">
        <v>2232</v>
      </c>
      <c r="C66" s="14" t="s">
        <v>2233</v>
      </c>
      <c r="D66" s="14" t="s">
        <v>766</v>
      </c>
      <c r="E66" s="19">
        <v>2000</v>
      </c>
      <c r="F66" s="20">
        <v>9735.42</v>
      </c>
      <c r="G66" s="21">
        <v>4.0000000000000001E-3</v>
      </c>
      <c r="H66" s="22">
        <v>6.3999E-2</v>
      </c>
      <c r="I66" s="23"/>
    </row>
    <row r="67" spans="1:9" ht="12.9" customHeight="1">
      <c r="A67" s="17" t="s">
        <v>2234</v>
      </c>
      <c r="B67" s="18" t="s">
        <v>2235</v>
      </c>
      <c r="C67" s="14" t="s">
        <v>2236</v>
      </c>
      <c r="D67" s="14" t="s">
        <v>766</v>
      </c>
      <c r="E67" s="19">
        <v>2000</v>
      </c>
      <c r="F67" s="20">
        <v>9727.1200000000008</v>
      </c>
      <c r="G67" s="21">
        <v>4.0000000000000001E-3</v>
      </c>
      <c r="H67" s="22">
        <v>6.3997999999999999E-2</v>
      </c>
      <c r="I67" s="23"/>
    </row>
    <row r="68" spans="1:9" ht="12.9" customHeight="1">
      <c r="A68" s="17" t="s">
        <v>2237</v>
      </c>
      <c r="B68" s="18" t="s">
        <v>2238</v>
      </c>
      <c r="C68" s="14" t="s">
        <v>2239</v>
      </c>
      <c r="D68" s="14" t="s">
        <v>770</v>
      </c>
      <c r="E68" s="19">
        <v>2000</v>
      </c>
      <c r="F68" s="20">
        <v>9720.48</v>
      </c>
      <c r="G68" s="21">
        <v>4.0000000000000001E-3</v>
      </c>
      <c r="H68" s="22">
        <v>6.3999E-2</v>
      </c>
      <c r="I68" s="23"/>
    </row>
    <row r="69" spans="1:9" ht="12.9" customHeight="1">
      <c r="A69" s="17" t="s">
        <v>771</v>
      </c>
      <c r="B69" s="18" t="s">
        <v>772</v>
      </c>
      <c r="C69" s="14" t="s">
        <v>773</v>
      </c>
      <c r="D69" s="14" t="s">
        <v>766</v>
      </c>
      <c r="E69" s="19">
        <v>2000</v>
      </c>
      <c r="F69" s="20">
        <v>9716.16</v>
      </c>
      <c r="G69" s="21">
        <v>4.0000000000000001E-3</v>
      </c>
      <c r="H69" s="22">
        <v>6.3850000000000004E-2</v>
      </c>
      <c r="I69" s="23"/>
    </row>
    <row r="70" spans="1:9" ht="12.9" customHeight="1">
      <c r="A70" s="17" t="s">
        <v>2240</v>
      </c>
      <c r="B70" s="18" t="s">
        <v>2241</v>
      </c>
      <c r="C70" s="14" t="s">
        <v>2242</v>
      </c>
      <c r="D70" s="14" t="s">
        <v>1583</v>
      </c>
      <c r="E70" s="19">
        <v>2000</v>
      </c>
      <c r="F70" s="20">
        <v>9389.75</v>
      </c>
      <c r="G70" s="21">
        <v>3.8999999999999998E-3</v>
      </c>
      <c r="H70" s="22">
        <v>6.7199999999999996E-2</v>
      </c>
      <c r="I70" s="23"/>
    </row>
    <row r="71" spans="1:9" ht="12.9" customHeight="1">
      <c r="A71" s="17" t="s">
        <v>2243</v>
      </c>
      <c r="B71" s="18" t="s">
        <v>2244</v>
      </c>
      <c r="C71" s="14" t="s">
        <v>2245</v>
      </c>
      <c r="D71" s="14" t="s">
        <v>1485</v>
      </c>
      <c r="E71" s="19">
        <v>1500</v>
      </c>
      <c r="F71" s="20">
        <v>7493.1374999999998</v>
      </c>
      <c r="G71" s="21">
        <v>3.0999999999999999E-3</v>
      </c>
      <c r="H71" s="22">
        <v>5.5696000000000002E-2</v>
      </c>
      <c r="I71" s="23"/>
    </row>
    <row r="72" spans="1:9" ht="12.9" customHeight="1">
      <c r="A72" s="17" t="s">
        <v>2246</v>
      </c>
      <c r="B72" s="18" t="s">
        <v>2247</v>
      </c>
      <c r="C72" s="14" t="s">
        <v>2248</v>
      </c>
      <c r="D72" s="14" t="s">
        <v>770</v>
      </c>
      <c r="E72" s="19">
        <v>1500</v>
      </c>
      <c r="F72" s="20">
        <v>7451.7449999999999</v>
      </c>
      <c r="G72" s="21">
        <v>3.0999999999999999E-3</v>
      </c>
      <c r="H72" s="22">
        <v>6.2199999999999998E-2</v>
      </c>
      <c r="I72" s="23"/>
    </row>
    <row r="73" spans="1:9" ht="12.9" customHeight="1">
      <c r="A73" s="17" t="s">
        <v>2249</v>
      </c>
      <c r="B73" s="18" t="s">
        <v>2250</v>
      </c>
      <c r="C73" s="14" t="s">
        <v>2251</v>
      </c>
      <c r="D73" s="14" t="s">
        <v>770</v>
      </c>
      <c r="E73" s="19">
        <v>1500</v>
      </c>
      <c r="F73" s="20">
        <v>7387.8525</v>
      </c>
      <c r="G73" s="21">
        <v>3.0000000000000001E-3</v>
      </c>
      <c r="H73" s="22">
        <v>6.0886999999999997E-2</v>
      </c>
      <c r="I73" s="23"/>
    </row>
    <row r="74" spans="1:9" ht="12.9" customHeight="1">
      <c r="A74" s="17" t="s">
        <v>2252</v>
      </c>
      <c r="B74" s="18" t="s">
        <v>2253</v>
      </c>
      <c r="C74" s="14" t="s">
        <v>2254</v>
      </c>
      <c r="D74" s="14" t="s">
        <v>770</v>
      </c>
      <c r="E74" s="19">
        <v>1500</v>
      </c>
      <c r="F74" s="20">
        <v>7318.9350000000004</v>
      </c>
      <c r="G74" s="21">
        <v>3.0000000000000001E-3</v>
      </c>
      <c r="H74" s="22">
        <v>6.4499000000000001E-2</v>
      </c>
      <c r="I74" s="23"/>
    </row>
    <row r="75" spans="1:9" ht="12.9" customHeight="1">
      <c r="A75" s="17" t="s">
        <v>2255</v>
      </c>
      <c r="B75" s="18" t="s">
        <v>2256</v>
      </c>
      <c r="C75" s="14" t="s">
        <v>2257</v>
      </c>
      <c r="D75" s="14" t="s">
        <v>766</v>
      </c>
      <c r="E75" s="19">
        <v>1500</v>
      </c>
      <c r="F75" s="20">
        <v>7148.2574999999997</v>
      </c>
      <c r="G75" s="21">
        <v>2.8999999999999998E-3</v>
      </c>
      <c r="H75" s="22">
        <v>6.5549999999999997E-2</v>
      </c>
      <c r="I75" s="23"/>
    </row>
    <row r="76" spans="1:9" ht="12.9" customHeight="1">
      <c r="A76" s="17" t="s">
        <v>777</v>
      </c>
      <c r="B76" s="18" t="s">
        <v>778</v>
      </c>
      <c r="C76" s="14" t="s">
        <v>779</v>
      </c>
      <c r="D76" s="14" t="s">
        <v>770</v>
      </c>
      <c r="E76" s="19">
        <v>1100</v>
      </c>
      <c r="F76" s="20">
        <v>5428.027</v>
      </c>
      <c r="G76" s="21">
        <v>2.2000000000000001E-3</v>
      </c>
      <c r="H76" s="22">
        <v>6.0498999999999997E-2</v>
      </c>
      <c r="I76" s="23"/>
    </row>
    <row r="77" spans="1:9" ht="12.9" customHeight="1">
      <c r="A77" s="17" t="s">
        <v>2258</v>
      </c>
      <c r="B77" s="18" t="s">
        <v>2259</v>
      </c>
      <c r="C77" s="14" t="s">
        <v>2260</v>
      </c>
      <c r="D77" s="14" t="s">
        <v>770</v>
      </c>
      <c r="E77" s="19">
        <v>1000</v>
      </c>
      <c r="F77" s="20">
        <v>4934.2449999999999</v>
      </c>
      <c r="G77" s="21">
        <v>2E-3</v>
      </c>
      <c r="H77" s="22">
        <v>6.0799499999999999E-2</v>
      </c>
      <c r="I77" s="23"/>
    </row>
    <row r="78" spans="1:9" ht="12.9" customHeight="1">
      <c r="A78" s="17" t="s">
        <v>2261</v>
      </c>
      <c r="B78" s="18" t="s">
        <v>2262</v>
      </c>
      <c r="C78" s="14" t="s">
        <v>2263</v>
      </c>
      <c r="D78" s="14" t="s">
        <v>1583</v>
      </c>
      <c r="E78" s="19">
        <v>1000</v>
      </c>
      <c r="F78" s="20">
        <v>4930.1949999999997</v>
      </c>
      <c r="G78" s="21">
        <v>2E-3</v>
      </c>
      <c r="H78" s="22">
        <v>6.0798999999999999E-2</v>
      </c>
      <c r="I78" s="23"/>
    </row>
    <row r="79" spans="1:9" ht="12.9" customHeight="1">
      <c r="A79" s="17" t="s">
        <v>2264</v>
      </c>
      <c r="B79" s="18" t="s">
        <v>2265</v>
      </c>
      <c r="C79" s="14" t="s">
        <v>2266</v>
      </c>
      <c r="D79" s="14" t="s">
        <v>770</v>
      </c>
      <c r="E79" s="19">
        <v>1000</v>
      </c>
      <c r="F79" s="20">
        <v>4929.0349999999999</v>
      </c>
      <c r="G79" s="21">
        <v>2E-3</v>
      </c>
      <c r="H79" s="22">
        <v>6.0402999999999998E-2</v>
      </c>
      <c r="I79" s="23"/>
    </row>
    <row r="80" spans="1:9" ht="12.9" customHeight="1">
      <c r="A80" s="17" t="s">
        <v>2267</v>
      </c>
      <c r="B80" s="18" t="s">
        <v>2268</v>
      </c>
      <c r="C80" s="14" t="s">
        <v>2269</v>
      </c>
      <c r="D80" s="14" t="s">
        <v>770</v>
      </c>
      <c r="E80" s="19">
        <v>1000</v>
      </c>
      <c r="F80" s="20">
        <v>4879.7349999999997</v>
      </c>
      <c r="G80" s="21">
        <v>2E-3</v>
      </c>
      <c r="H80" s="22">
        <v>6.3798999999999995E-2</v>
      </c>
      <c r="I80" s="23"/>
    </row>
    <row r="81" spans="1:9" ht="12.9" customHeight="1">
      <c r="A81" s="17" t="s">
        <v>2270</v>
      </c>
      <c r="B81" s="18" t="s">
        <v>2271</v>
      </c>
      <c r="C81" s="14" t="s">
        <v>2272</v>
      </c>
      <c r="D81" s="14" t="s">
        <v>770</v>
      </c>
      <c r="E81" s="19">
        <v>500</v>
      </c>
      <c r="F81" s="20">
        <v>2484.8175000000001</v>
      </c>
      <c r="G81" s="21">
        <v>1E-3</v>
      </c>
      <c r="H81" s="22">
        <v>6.1949999999999998E-2</v>
      </c>
      <c r="I81" s="23"/>
    </row>
    <row r="82" spans="1:9" ht="12.9" customHeight="1">
      <c r="A82" s="17" t="s">
        <v>2273</v>
      </c>
      <c r="B82" s="18" t="s">
        <v>2274</v>
      </c>
      <c r="C82" s="14" t="s">
        <v>2275</v>
      </c>
      <c r="D82" s="14" t="s">
        <v>770</v>
      </c>
      <c r="E82" s="19">
        <v>500</v>
      </c>
      <c r="F82" s="20">
        <v>2482.3049999999998</v>
      </c>
      <c r="G82" s="21">
        <v>1E-3</v>
      </c>
      <c r="H82" s="22">
        <v>6.1949999999999998E-2</v>
      </c>
      <c r="I82" s="23"/>
    </row>
    <row r="83" spans="1:9" ht="12.9" customHeight="1">
      <c r="A83" s="17" t="s">
        <v>2276</v>
      </c>
      <c r="B83" s="18" t="s">
        <v>2277</v>
      </c>
      <c r="C83" s="14" t="s">
        <v>2278</v>
      </c>
      <c r="D83" s="14" t="s">
        <v>1583</v>
      </c>
      <c r="E83" s="19">
        <v>500</v>
      </c>
      <c r="F83" s="20">
        <v>2478.0700000000002</v>
      </c>
      <c r="G83" s="21">
        <v>1E-3</v>
      </c>
      <c r="H83" s="22">
        <v>6.2121000000000003E-2</v>
      </c>
      <c r="I83" s="23"/>
    </row>
    <row r="84" spans="1:9" ht="12.9" customHeight="1">
      <c r="A84" s="17" t="s">
        <v>1893</v>
      </c>
      <c r="B84" s="18" t="s">
        <v>1894</v>
      </c>
      <c r="C84" s="14" t="s">
        <v>1895</v>
      </c>
      <c r="D84" s="14" t="s">
        <v>770</v>
      </c>
      <c r="E84" s="19">
        <v>100</v>
      </c>
      <c r="F84" s="20">
        <v>498.101</v>
      </c>
      <c r="G84" s="21">
        <v>2.0000000000000001E-4</v>
      </c>
      <c r="H84" s="22">
        <v>6.0499999999999998E-2</v>
      </c>
      <c r="I84" s="23"/>
    </row>
    <row r="85" spans="1:9" ht="12.9" customHeight="1">
      <c r="A85" s="5"/>
      <c r="B85" s="13" t="s">
        <v>88</v>
      </c>
      <c r="C85" s="14"/>
      <c r="D85" s="14"/>
      <c r="E85" s="14"/>
      <c r="F85" s="24">
        <v>1457648.9839999999</v>
      </c>
      <c r="G85" s="25">
        <v>0.59899999999999998</v>
      </c>
      <c r="H85" s="26"/>
      <c r="I85" s="27"/>
    </row>
    <row r="86" spans="1:9" ht="12.9" customHeight="1">
      <c r="A86" s="5"/>
      <c r="B86" s="13" t="s">
        <v>1481</v>
      </c>
      <c r="C86" s="14"/>
      <c r="D86" s="14"/>
      <c r="E86" s="14"/>
      <c r="F86" s="5"/>
      <c r="G86" s="15"/>
      <c r="H86" s="15"/>
      <c r="I86" s="16"/>
    </row>
    <row r="87" spans="1:9" ht="12.9" customHeight="1">
      <c r="A87" s="17" t="s">
        <v>2279</v>
      </c>
      <c r="B87" s="18" t="s">
        <v>2280</v>
      </c>
      <c r="C87" s="14" t="s">
        <v>2281</v>
      </c>
      <c r="D87" s="14" t="s">
        <v>770</v>
      </c>
      <c r="E87" s="19">
        <v>9500</v>
      </c>
      <c r="F87" s="20">
        <v>47217.707499999997</v>
      </c>
      <c r="G87" s="21">
        <v>1.9400000000000001E-2</v>
      </c>
      <c r="H87" s="22">
        <v>6.2348000000000001E-2</v>
      </c>
      <c r="I87" s="23"/>
    </row>
    <row r="88" spans="1:9" ht="12.9" customHeight="1">
      <c r="A88" s="17" t="s">
        <v>2282</v>
      </c>
      <c r="B88" s="18" t="s">
        <v>2283</v>
      </c>
      <c r="C88" s="14" t="s">
        <v>2284</v>
      </c>
      <c r="D88" s="14" t="s">
        <v>770</v>
      </c>
      <c r="E88" s="19">
        <v>6000</v>
      </c>
      <c r="F88" s="20">
        <v>29126.79</v>
      </c>
      <c r="G88" s="21">
        <v>1.2E-2</v>
      </c>
      <c r="H88" s="22">
        <v>6.4750000000000002E-2</v>
      </c>
      <c r="I88" s="23"/>
    </row>
    <row r="89" spans="1:9" ht="12.9" customHeight="1">
      <c r="A89" s="17" t="s">
        <v>2037</v>
      </c>
      <c r="B89" s="18" t="s">
        <v>2038</v>
      </c>
      <c r="C89" s="14" t="s">
        <v>2039</v>
      </c>
      <c r="D89" s="14" t="s">
        <v>770</v>
      </c>
      <c r="E89" s="19">
        <v>5000</v>
      </c>
      <c r="F89" s="20">
        <v>24725.424999999999</v>
      </c>
      <c r="G89" s="21">
        <v>1.0200000000000001E-2</v>
      </c>
      <c r="H89" s="22">
        <v>6.8699999999999997E-2</v>
      </c>
      <c r="I89" s="23"/>
    </row>
    <row r="90" spans="1:9" ht="12.9" customHeight="1">
      <c r="A90" s="17" t="s">
        <v>2285</v>
      </c>
      <c r="B90" s="18" t="s">
        <v>2286</v>
      </c>
      <c r="C90" s="14" t="s">
        <v>2287</v>
      </c>
      <c r="D90" s="14" t="s">
        <v>1583</v>
      </c>
      <c r="E90" s="19">
        <v>5000</v>
      </c>
      <c r="F90" s="20">
        <v>24669.45</v>
      </c>
      <c r="G90" s="21">
        <v>1.01E-2</v>
      </c>
      <c r="H90" s="22">
        <v>6.6998000000000002E-2</v>
      </c>
      <c r="I90" s="23"/>
    </row>
    <row r="91" spans="1:9" ht="12.9" customHeight="1">
      <c r="A91" s="17" t="s">
        <v>2288</v>
      </c>
      <c r="B91" s="18" t="s">
        <v>2289</v>
      </c>
      <c r="C91" s="14" t="s">
        <v>2290</v>
      </c>
      <c r="D91" s="14" t="s">
        <v>1485</v>
      </c>
      <c r="E91" s="19">
        <v>5000</v>
      </c>
      <c r="F91" s="20">
        <v>24669.45</v>
      </c>
      <c r="G91" s="21">
        <v>1.01E-2</v>
      </c>
      <c r="H91" s="22">
        <v>6.6998000000000002E-2</v>
      </c>
      <c r="I91" s="23"/>
    </row>
    <row r="92" spans="1:9" ht="12.9" customHeight="1">
      <c r="A92" s="17" t="s">
        <v>2291</v>
      </c>
      <c r="B92" s="18" t="s">
        <v>2292</v>
      </c>
      <c r="C92" s="14" t="s">
        <v>2293</v>
      </c>
      <c r="D92" s="14" t="s">
        <v>770</v>
      </c>
      <c r="E92" s="19">
        <v>5000</v>
      </c>
      <c r="F92" s="20">
        <v>24634.25</v>
      </c>
      <c r="G92" s="21">
        <v>1.01E-2</v>
      </c>
      <c r="H92" s="22">
        <v>6.8599999999999994E-2</v>
      </c>
      <c r="I92" s="23"/>
    </row>
    <row r="93" spans="1:9" ht="12.9" customHeight="1">
      <c r="A93" s="17" t="s">
        <v>2294</v>
      </c>
      <c r="B93" s="18" t="s">
        <v>2295</v>
      </c>
      <c r="C93" s="14" t="s">
        <v>2296</v>
      </c>
      <c r="D93" s="14" t="s">
        <v>770</v>
      </c>
      <c r="E93" s="19">
        <v>5000</v>
      </c>
      <c r="F93" s="20">
        <v>24582.125</v>
      </c>
      <c r="G93" s="21">
        <v>1.01E-2</v>
      </c>
      <c r="H93" s="22">
        <v>7.2150000000000006E-2</v>
      </c>
      <c r="I93" s="23"/>
    </row>
    <row r="94" spans="1:9" ht="12.9" customHeight="1">
      <c r="A94" s="17" t="s">
        <v>2297</v>
      </c>
      <c r="B94" s="18" t="s">
        <v>2298</v>
      </c>
      <c r="C94" s="14" t="s">
        <v>2299</v>
      </c>
      <c r="D94" s="14" t="s">
        <v>770</v>
      </c>
      <c r="E94" s="19">
        <v>5000</v>
      </c>
      <c r="F94" s="20">
        <v>24149.974999999999</v>
      </c>
      <c r="G94" s="21">
        <v>9.9000000000000008E-3</v>
      </c>
      <c r="H94" s="22">
        <v>7.2175000000000003E-2</v>
      </c>
      <c r="I94" s="23"/>
    </row>
    <row r="95" spans="1:9" ht="12.9" customHeight="1">
      <c r="A95" s="17" t="s">
        <v>2300</v>
      </c>
      <c r="B95" s="18" t="s">
        <v>2301</v>
      </c>
      <c r="C95" s="14" t="s">
        <v>2302</v>
      </c>
      <c r="D95" s="14" t="s">
        <v>770</v>
      </c>
      <c r="E95" s="19">
        <v>5000</v>
      </c>
      <c r="F95" s="20">
        <v>24115.05</v>
      </c>
      <c r="G95" s="21">
        <v>9.9000000000000008E-3</v>
      </c>
      <c r="H95" s="22">
        <v>7.5250999999999998E-2</v>
      </c>
      <c r="I95" s="23"/>
    </row>
    <row r="96" spans="1:9" ht="12.9" customHeight="1">
      <c r="A96" s="17" t="s">
        <v>2303</v>
      </c>
      <c r="B96" s="18" t="s">
        <v>2304</v>
      </c>
      <c r="C96" s="14" t="s">
        <v>2305</v>
      </c>
      <c r="D96" s="14" t="s">
        <v>770</v>
      </c>
      <c r="E96" s="19">
        <v>5000</v>
      </c>
      <c r="F96" s="20">
        <v>23480.474999999999</v>
      </c>
      <c r="G96" s="21">
        <v>9.5999999999999992E-3</v>
      </c>
      <c r="H96" s="22">
        <v>7.0300000000000001E-2</v>
      </c>
      <c r="I96" s="23"/>
    </row>
    <row r="97" spans="1:9" ht="12.9" customHeight="1">
      <c r="A97" s="17" t="s">
        <v>2306</v>
      </c>
      <c r="B97" s="18" t="s">
        <v>2307</v>
      </c>
      <c r="C97" s="14" t="s">
        <v>2308</v>
      </c>
      <c r="D97" s="14" t="s">
        <v>770</v>
      </c>
      <c r="E97" s="19">
        <v>4000</v>
      </c>
      <c r="F97" s="20">
        <v>19742.62</v>
      </c>
      <c r="G97" s="21">
        <v>8.0999999999999996E-3</v>
      </c>
      <c r="H97" s="22">
        <v>7.2099999999999997E-2</v>
      </c>
      <c r="I97" s="23"/>
    </row>
    <row r="98" spans="1:9" ht="12.9" customHeight="1">
      <c r="A98" s="17" t="s">
        <v>2309</v>
      </c>
      <c r="B98" s="18" t="s">
        <v>2310</v>
      </c>
      <c r="C98" s="14" t="s">
        <v>2311</v>
      </c>
      <c r="D98" s="14" t="s">
        <v>770</v>
      </c>
      <c r="E98" s="19">
        <v>4000</v>
      </c>
      <c r="F98" s="20">
        <v>19720.439999999999</v>
      </c>
      <c r="G98" s="21">
        <v>8.0999999999999996E-3</v>
      </c>
      <c r="H98" s="22">
        <v>6.5500000000000003E-2</v>
      </c>
      <c r="I98" s="23"/>
    </row>
    <row r="99" spans="1:9" ht="12.9" customHeight="1">
      <c r="A99" s="17" t="s">
        <v>2312</v>
      </c>
      <c r="B99" s="18" t="s">
        <v>2313</v>
      </c>
      <c r="C99" s="14" t="s">
        <v>2314</v>
      </c>
      <c r="D99" s="14" t="s">
        <v>770</v>
      </c>
      <c r="E99" s="19">
        <v>4000</v>
      </c>
      <c r="F99" s="20">
        <v>19442.599999999999</v>
      </c>
      <c r="G99" s="21">
        <v>8.0000000000000002E-3</v>
      </c>
      <c r="H99" s="22">
        <v>6.7950999999999998E-2</v>
      </c>
      <c r="I99" s="23"/>
    </row>
    <row r="100" spans="1:9" ht="12.9" customHeight="1">
      <c r="A100" s="17" t="s">
        <v>2315</v>
      </c>
      <c r="B100" s="18" t="s">
        <v>2316</v>
      </c>
      <c r="C100" s="14" t="s">
        <v>2317</v>
      </c>
      <c r="D100" s="14" t="s">
        <v>770</v>
      </c>
      <c r="E100" s="19">
        <v>4000</v>
      </c>
      <c r="F100" s="20">
        <v>19301.560000000001</v>
      </c>
      <c r="G100" s="21">
        <v>7.9000000000000008E-3</v>
      </c>
      <c r="H100" s="22">
        <v>7.2175000000000003E-2</v>
      </c>
      <c r="I100" s="23"/>
    </row>
    <row r="101" spans="1:9" ht="12.9" customHeight="1">
      <c r="A101" s="17" t="s">
        <v>2318</v>
      </c>
      <c r="B101" s="18" t="s">
        <v>2319</v>
      </c>
      <c r="C101" s="14" t="s">
        <v>2320</v>
      </c>
      <c r="D101" s="14" t="s">
        <v>770</v>
      </c>
      <c r="E101" s="19">
        <v>3000</v>
      </c>
      <c r="F101" s="20">
        <v>14826.615</v>
      </c>
      <c r="G101" s="21">
        <v>6.1000000000000004E-3</v>
      </c>
      <c r="H101" s="22">
        <v>7.2347999999999996E-2</v>
      </c>
      <c r="I101" s="23"/>
    </row>
    <row r="102" spans="1:9" ht="12.9" customHeight="1">
      <c r="A102" s="17" t="s">
        <v>2321</v>
      </c>
      <c r="B102" s="18" t="s">
        <v>2322</v>
      </c>
      <c r="C102" s="14" t="s">
        <v>2323</v>
      </c>
      <c r="D102" s="14" t="s">
        <v>1485</v>
      </c>
      <c r="E102" s="19">
        <v>3000</v>
      </c>
      <c r="F102" s="20">
        <v>14804.58</v>
      </c>
      <c r="G102" s="21">
        <v>6.1000000000000004E-3</v>
      </c>
      <c r="H102" s="22">
        <v>6.6000000000000003E-2</v>
      </c>
      <c r="I102" s="23"/>
    </row>
    <row r="103" spans="1:9" ht="12.9" customHeight="1">
      <c r="A103" s="17" t="s">
        <v>2324</v>
      </c>
      <c r="B103" s="18" t="s">
        <v>2325</v>
      </c>
      <c r="C103" s="14" t="s">
        <v>2326</v>
      </c>
      <c r="D103" s="14" t="s">
        <v>770</v>
      </c>
      <c r="E103" s="19">
        <v>3000</v>
      </c>
      <c r="F103" s="20">
        <v>14608.275</v>
      </c>
      <c r="G103" s="21">
        <v>6.0000000000000001E-3</v>
      </c>
      <c r="H103" s="22">
        <v>7.2500999999999996E-2</v>
      </c>
      <c r="I103" s="23"/>
    </row>
    <row r="104" spans="1:9" ht="12.9" customHeight="1">
      <c r="A104" s="17" t="s">
        <v>2327</v>
      </c>
      <c r="B104" s="18" t="s">
        <v>2328</v>
      </c>
      <c r="C104" s="14" t="s">
        <v>2329</v>
      </c>
      <c r="D104" s="14" t="s">
        <v>770</v>
      </c>
      <c r="E104" s="19">
        <v>3000</v>
      </c>
      <c r="F104" s="20">
        <v>14491.485000000001</v>
      </c>
      <c r="G104" s="21">
        <v>6.0000000000000001E-3</v>
      </c>
      <c r="H104" s="22">
        <v>7.8099000000000002E-2</v>
      </c>
      <c r="I104" s="23"/>
    </row>
    <row r="105" spans="1:9" ht="12.9" customHeight="1">
      <c r="A105" s="17" t="s">
        <v>2001</v>
      </c>
      <c r="B105" s="18" t="s">
        <v>2002</v>
      </c>
      <c r="C105" s="14" t="s">
        <v>2003</v>
      </c>
      <c r="D105" s="14" t="s">
        <v>770</v>
      </c>
      <c r="E105" s="19">
        <v>2500</v>
      </c>
      <c r="F105" s="20">
        <v>12495.825000000001</v>
      </c>
      <c r="G105" s="21">
        <v>5.1000000000000004E-3</v>
      </c>
      <c r="H105" s="22">
        <v>6.0985999999999999E-2</v>
      </c>
      <c r="I105" s="23"/>
    </row>
    <row r="106" spans="1:9" ht="12.9" customHeight="1">
      <c r="A106" s="17" t="s">
        <v>2330</v>
      </c>
      <c r="B106" s="18" t="s">
        <v>2331</v>
      </c>
      <c r="C106" s="14" t="s">
        <v>2332</v>
      </c>
      <c r="D106" s="14" t="s">
        <v>770</v>
      </c>
      <c r="E106" s="19">
        <v>2500</v>
      </c>
      <c r="F106" s="20">
        <v>12353.525</v>
      </c>
      <c r="G106" s="21">
        <v>5.1000000000000004E-3</v>
      </c>
      <c r="H106" s="22">
        <v>6.8697999999999995E-2</v>
      </c>
      <c r="I106" s="23"/>
    </row>
    <row r="107" spans="1:9" ht="12.9" customHeight="1">
      <c r="A107" s="17" t="s">
        <v>2333</v>
      </c>
      <c r="B107" s="18" t="s">
        <v>2334</v>
      </c>
      <c r="C107" s="14" t="s">
        <v>2335</v>
      </c>
      <c r="D107" s="14" t="s">
        <v>770</v>
      </c>
      <c r="E107" s="19">
        <v>2000</v>
      </c>
      <c r="F107" s="20">
        <v>9928.58</v>
      </c>
      <c r="G107" s="21">
        <v>4.1000000000000003E-3</v>
      </c>
      <c r="H107" s="22">
        <v>6.9098999999999994E-2</v>
      </c>
      <c r="I107" s="23"/>
    </row>
    <row r="108" spans="1:9" ht="12.9" customHeight="1">
      <c r="A108" s="17" t="s">
        <v>2336</v>
      </c>
      <c r="B108" s="18" t="s">
        <v>2337</v>
      </c>
      <c r="C108" s="14" t="s">
        <v>2338</v>
      </c>
      <c r="D108" s="14" t="s">
        <v>770</v>
      </c>
      <c r="E108" s="19">
        <v>2000</v>
      </c>
      <c r="F108" s="20">
        <v>9925.5</v>
      </c>
      <c r="G108" s="21">
        <v>4.1000000000000003E-3</v>
      </c>
      <c r="H108" s="22">
        <v>7.2100999999999998E-2</v>
      </c>
      <c r="I108" s="23"/>
    </row>
    <row r="109" spans="1:9" ht="12.9" customHeight="1">
      <c r="A109" s="17" t="s">
        <v>2339</v>
      </c>
      <c r="B109" s="18" t="s">
        <v>2340</v>
      </c>
      <c r="C109" s="14" t="s">
        <v>2341</v>
      </c>
      <c r="D109" s="14" t="s">
        <v>1485</v>
      </c>
      <c r="E109" s="19">
        <v>2000</v>
      </c>
      <c r="F109" s="20">
        <v>9849</v>
      </c>
      <c r="G109" s="21">
        <v>4.0000000000000001E-3</v>
      </c>
      <c r="H109" s="22">
        <v>6.9949999999999998E-2</v>
      </c>
      <c r="I109" s="23"/>
    </row>
    <row r="110" spans="1:9" ht="12.9" customHeight="1">
      <c r="A110" s="17" t="s">
        <v>2342</v>
      </c>
      <c r="B110" s="18" t="s">
        <v>2343</v>
      </c>
      <c r="C110" s="14" t="s">
        <v>2344</v>
      </c>
      <c r="D110" s="14" t="s">
        <v>770</v>
      </c>
      <c r="E110" s="19">
        <v>2000</v>
      </c>
      <c r="F110" s="20">
        <v>9848.34</v>
      </c>
      <c r="G110" s="21">
        <v>4.0000000000000001E-3</v>
      </c>
      <c r="H110" s="22">
        <v>7.6997999999999997E-2</v>
      </c>
      <c r="I110" s="23"/>
    </row>
    <row r="111" spans="1:9" ht="12.9" customHeight="1">
      <c r="A111" s="17" t="s">
        <v>2345</v>
      </c>
      <c r="B111" s="18" t="s">
        <v>2346</v>
      </c>
      <c r="C111" s="14" t="s">
        <v>2347</v>
      </c>
      <c r="D111" s="14" t="s">
        <v>1583</v>
      </c>
      <c r="E111" s="19">
        <v>2000</v>
      </c>
      <c r="F111" s="20">
        <v>9736.0499999999993</v>
      </c>
      <c r="G111" s="21">
        <v>4.0000000000000001E-3</v>
      </c>
      <c r="H111" s="22">
        <v>7.3300000000000004E-2</v>
      </c>
      <c r="I111" s="23"/>
    </row>
    <row r="112" spans="1:9" ht="12.9" customHeight="1">
      <c r="A112" s="17" t="s">
        <v>2348</v>
      </c>
      <c r="B112" s="18" t="s">
        <v>2349</v>
      </c>
      <c r="C112" s="14" t="s">
        <v>2350</v>
      </c>
      <c r="D112" s="14" t="s">
        <v>770</v>
      </c>
      <c r="E112" s="19">
        <v>2000</v>
      </c>
      <c r="F112" s="20">
        <v>9661.4699999999993</v>
      </c>
      <c r="G112" s="21">
        <v>4.0000000000000001E-3</v>
      </c>
      <c r="H112" s="22">
        <v>7.1849999999999997E-2</v>
      </c>
      <c r="I112" s="23"/>
    </row>
    <row r="113" spans="1:9" ht="12.9" customHeight="1">
      <c r="A113" s="17" t="s">
        <v>2351</v>
      </c>
      <c r="B113" s="18" t="s">
        <v>2352</v>
      </c>
      <c r="C113" s="14" t="s">
        <v>2353</v>
      </c>
      <c r="D113" s="14" t="s">
        <v>1485</v>
      </c>
      <c r="E113" s="19">
        <v>2000</v>
      </c>
      <c r="F113" s="20">
        <v>9649.42</v>
      </c>
      <c r="G113" s="21">
        <v>4.0000000000000001E-3</v>
      </c>
      <c r="H113" s="22">
        <v>7.4499999999999997E-2</v>
      </c>
      <c r="I113" s="23"/>
    </row>
    <row r="114" spans="1:9" ht="12.9" customHeight="1">
      <c r="A114" s="17" t="s">
        <v>2354</v>
      </c>
      <c r="B114" s="18" t="s">
        <v>2355</v>
      </c>
      <c r="C114" s="14" t="s">
        <v>2356</v>
      </c>
      <c r="D114" s="14" t="s">
        <v>770</v>
      </c>
      <c r="E114" s="19">
        <v>1500</v>
      </c>
      <c r="F114" s="20">
        <v>7426.8374999999996</v>
      </c>
      <c r="G114" s="21">
        <v>3.0999999999999999E-3</v>
      </c>
      <c r="H114" s="22">
        <v>6.9147E-2</v>
      </c>
      <c r="I114" s="23"/>
    </row>
    <row r="115" spans="1:9" ht="12.9" customHeight="1">
      <c r="A115" s="17" t="s">
        <v>2052</v>
      </c>
      <c r="B115" s="18" t="s">
        <v>2053</v>
      </c>
      <c r="C115" s="14" t="s">
        <v>2054</v>
      </c>
      <c r="D115" s="14" t="s">
        <v>770</v>
      </c>
      <c r="E115" s="19">
        <v>1500</v>
      </c>
      <c r="F115" s="20">
        <v>7426.6274999999996</v>
      </c>
      <c r="G115" s="21">
        <v>3.0999999999999999E-3</v>
      </c>
      <c r="H115" s="22">
        <v>6.9348000000000007E-2</v>
      </c>
      <c r="I115" s="23"/>
    </row>
    <row r="116" spans="1:9" ht="12.9" customHeight="1">
      <c r="A116" s="17" t="s">
        <v>2357</v>
      </c>
      <c r="B116" s="18" t="s">
        <v>2358</v>
      </c>
      <c r="C116" s="14" t="s">
        <v>2359</v>
      </c>
      <c r="D116" s="14" t="s">
        <v>770</v>
      </c>
      <c r="E116" s="19">
        <v>1500</v>
      </c>
      <c r="F116" s="20">
        <v>7411.86</v>
      </c>
      <c r="G116" s="21">
        <v>3.0000000000000001E-3</v>
      </c>
      <c r="H116" s="22">
        <v>6.8900000000000003E-2</v>
      </c>
      <c r="I116" s="23"/>
    </row>
    <row r="117" spans="1:9" ht="12.9" customHeight="1">
      <c r="A117" s="17" t="s">
        <v>2360</v>
      </c>
      <c r="B117" s="18" t="s">
        <v>2361</v>
      </c>
      <c r="C117" s="14" t="s">
        <v>2362</v>
      </c>
      <c r="D117" s="14" t="s">
        <v>770</v>
      </c>
      <c r="E117" s="19">
        <v>1500</v>
      </c>
      <c r="F117" s="20">
        <v>7405.9350000000004</v>
      </c>
      <c r="G117" s="21">
        <v>3.0000000000000001E-3</v>
      </c>
      <c r="H117" s="22">
        <v>6.0999999999999999E-2</v>
      </c>
      <c r="I117" s="23"/>
    </row>
    <row r="118" spans="1:9" ht="12.9" customHeight="1">
      <c r="A118" s="17" t="s">
        <v>2363</v>
      </c>
      <c r="B118" s="18" t="s">
        <v>2364</v>
      </c>
      <c r="C118" s="14" t="s">
        <v>2365</v>
      </c>
      <c r="D118" s="14" t="s">
        <v>770</v>
      </c>
      <c r="E118" s="19">
        <v>1500</v>
      </c>
      <c r="F118" s="20">
        <v>7265.4525000000003</v>
      </c>
      <c r="G118" s="21">
        <v>3.0000000000000001E-3</v>
      </c>
      <c r="H118" s="22">
        <v>7.1849999999999997E-2</v>
      </c>
      <c r="I118" s="23"/>
    </row>
    <row r="119" spans="1:9" ht="12.9" customHeight="1">
      <c r="A119" s="17" t="s">
        <v>2366</v>
      </c>
      <c r="B119" s="18" t="s">
        <v>2367</v>
      </c>
      <c r="C119" s="14" t="s">
        <v>2368</v>
      </c>
      <c r="D119" s="14" t="s">
        <v>770</v>
      </c>
      <c r="E119" s="19">
        <v>1500</v>
      </c>
      <c r="F119" s="20">
        <v>7255.7624999999998</v>
      </c>
      <c r="G119" s="21">
        <v>3.0000000000000001E-3</v>
      </c>
      <c r="H119" s="22">
        <v>7.1849999999999997E-2</v>
      </c>
      <c r="I119" s="23"/>
    </row>
    <row r="120" spans="1:9" ht="12.9" customHeight="1">
      <c r="A120" s="17" t="s">
        <v>2369</v>
      </c>
      <c r="B120" s="18" t="s">
        <v>2370</v>
      </c>
      <c r="C120" s="14" t="s">
        <v>2371</v>
      </c>
      <c r="D120" s="14" t="s">
        <v>770</v>
      </c>
      <c r="E120" s="19">
        <v>1400</v>
      </c>
      <c r="F120" s="20">
        <v>6907.1030000000001</v>
      </c>
      <c r="G120" s="21">
        <v>2.8E-3</v>
      </c>
      <c r="H120" s="22">
        <v>6.7250000000000004E-2</v>
      </c>
      <c r="I120" s="23"/>
    </row>
    <row r="121" spans="1:9" ht="12.9" customHeight="1">
      <c r="A121" s="17" t="s">
        <v>2372</v>
      </c>
      <c r="B121" s="18" t="s">
        <v>2373</v>
      </c>
      <c r="C121" s="14" t="s">
        <v>2374</v>
      </c>
      <c r="D121" s="14" t="s">
        <v>770</v>
      </c>
      <c r="E121" s="19">
        <v>1000</v>
      </c>
      <c r="F121" s="20">
        <v>4998.3649999999998</v>
      </c>
      <c r="G121" s="21">
        <v>2.0999999999999999E-3</v>
      </c>
      <c r="H121" s="22">
        <v>5.9788000000000001E-2</v>
      </c>
      <c r="I121" s="23"/>
    </row>
    <row r="122" spans="1:9" ht="12.9" customHeight="1">
      <c r="A122" s="17" t="s">
        <v>2375</v>
      </c>
      <c r="B122" s="18" t="s">
        <v>2376</v>
      </c>
      <c r="C122" s="14" t="s">
        <v>2377</v>
      </c>
      <c r="D122" s="14" t="s">
        <v>770</v>
      </c>
      <c r="E122" s="19">
        <v>1000</v>
      </c>
      <c r="F122" s="20">
        <v>4935.17</v>
      </c>
      <c r="G122" s="21">
        <v>2E-3</v>
      </c>
      <c r="H122" s="22">
        <v>7.2650999999999993E-2</v>
      </c>
      <c r="I122" s="23"/>
    </row>
    <row r="123" spans="1:9" ht="12.9" customHeight="1">
      <c r="A123" s="17" t="s">
        <v>2378</v>
      </c>
      <c r="B123" s="18" t="s">
        <v>2379</v>
      </c>
      <c r="C123" s="14" t="s">
        <v>2380</v>
      </c>
      <c r="D123" s="14" t="s">
        <v>770</v>
      </c>
      <c r="E123" s="19">
        <v>1000</v>
      </c>
      <c r="F123" s="20">
        <v>4932.04</v>
      </c>
      <c r="G123" s="21">
        <v>2E-3</v>
      </c>
      <c r="H123" s="22">
        <v>6.8899000000000002E-2</v>
      </c>
      <c r="I123" s="23"/>
    </row>
    <row r="124" spans="1:9" ht="12.9" customHeight="1">
      <c r="A124" s="17" t="s">
        <v>2381</v>
      </c>
      <c r="B124" s="18" t="s">
        <v>2382</v>
      </c>
      <c r="C124" s="14" t="s">
        <v>2383</v>
      </c>
      <c r="D124" s="14" t="s">
        <v>770</v>
      </c>
      <c r="E124" s="19">
        <v>1000</v>
      </c>
      <c r="F124" s="20">
        <v>4820.1350000000002</v>
      </c>
      <c r="G124" s="21">
        <v>2E-3</v>
      </c>
      <c r="H124" s="22">
        <v>7.5249999999999997E-2</v>
      </c>
      <c r="I124" s="23"/>
    </row>
    <row r="125" spans="1:9" ht="12.9" customHeight="1">
      <c r="A125" s="17" t="s">
        <v>2384</v>
      </c>
      <c r="B125" s="18" t="s">
        <v>2385</v>
      </c>
      <c r="C125" s="14" t="s">
        <v>2386</v>
      </c>
      <c r="D125" s="14" t="s">
        <v>770</v>
      </c>
      <c r="E125" s="19">
        <v>500</v>
      </c>
      <c r="F125" s="20">
        <v>2500</v>
      </c>
      <c r="G125" s="21">
        <v>1E-3</v>
      </c>
      <c r="H125" s="22">
        <v>5.2933000000000001E-2</v>
      </c>
      <c r="I125" s="23"/>
    </row>
    <row r="126" spans="1:9" ht="12.9" customHeight="1">
      <c r="A126" s="17" t="s">
        <v>2387</v>
      </c>
      <c r="B126" s="18" t="s">
        <v>2388</v>
      </c>
      <c r="C126" s="14" t="s">
        <v>2389</v>
      </c>
      <c r="D126" s="14" t="s">
        <v>770</v>
      </c>
      <c r="E126" s="19">
        <v>500</v>
      </c>
      <c r="F126" s="20">
        <v>2468.3150000000001</v>
      </c>
      <c r="G126" s="21">
        <v>1E-3</v>
      </c>
      <c r="H126" s="22">
        <v>6.0849E-2</v>
      </c>
      <c r="I126" s="23"/>
    </row>
    <row r="127" spans="1:9" ht="12.9" customHeight="1">
      <c r="A127" s="17" t="s">
        <v>2390</v>
      </c>
      <c r="B127" s="18" t="s">
        <v>2391</v>
      </c>
      <c r="C127" s="14" t="s">
        <v>2392</v>
      </c>
      <c r="D127" s="14" t="s">
        <v>770</v>
      </c>
      <c r="E127" s="19">
        <v>500</v>
      </c>
      <c r="F127" s="20">
        <v>2463.5300000000002</v>
      </c>
      <c r="G127" s="21">
        <v>1E-3</v>
      </c>
      <c r="H127" s="22">
        <v>6.8398E-2</v>
      </c>
      <c r="I127" s="23"/>
    </row>
    <row r="128" spans="1:9" ht="12.9" customHeight="1">
      <c r="A128" s="17" t="s">
        <v>2393</v>
      </c>
      <c r="B128" s="18" t="s">
        <v>2394</v>
      </c>
      <c r="C128" s="14" t="s">
        <v>2395</v>
      </c>
      <c r="D128" s="14" t="s">
        <v>770</v>
      </c>
      <c r="E128" s="19">
        <v>500</v>
      </c>
      <c r="F128" s="20">
        <v>2462.4974999999999</v>
      </c>
      <c r="G128" s="21">
        <v>1E-3</v>
      </c>
      <c r="H128" s="22">
        <v>6.5398999999999999E-2</v>
      </c>
      <c r="I128" s="23"/>
    </row>
    <row r="129" spans="1:9" ht="12.9" customHeight="1">
      <c r="A129" s="17" t="s">
        <v>2396</v>
      </c>
      <c r="B129" s="18" t="s">
        <v>2397</v>
      </c>
      <c r="C129" s="14" t="s">
        <v>2398</v>
      </c>
      <c r="D129" s="14" t="s">
        <v>770</v>
      </c>
      <c r="E129" s="19">
        <v>500</v>
      </c>
      <c r="F129" s="20">
        <v>2460.0100000000002</v>
      </c>
      <c r="G129" s="21">
        <v>1E-3</v>
      </c>
      <c r="H129" s="22">
        <v>6.8200999999999998E-2</v>
      </c>
      <c r="I129" s="23"/>
    </row>
    <row r="130" spans="1:9" ht="12.9" customHeight="1">
      <c r="A130" s="17" t="s">
        <v>1482</v>
      </c>
      <c r="B130" s="18" t="s">
        <v>1483</v>
      </c>
      <c r="C130" s="14" t="s">
        <v>1484</v>
      </c>
      <c r="D130" s="14" t="s">
        <v>770</v>
      </c>
      <c r="E130" s="19">
        <v>500</v>
      </c>
      <c r="F130" s="20">
        <v>2423.5875000000001</v>
      </c>
      <c r="G130" s="21">
        <v>1E-3</v>
      </c>
      <c r="H130" s="22">
        <v>6.8500000000000005E-2</v>
      </c>
      <c r="I130" s="23"/>
    </row>
    <row r="131" spans="1:9" ht="12.9" customHeight="1">
      <c r="A131" s="5"/>
      <c r="B131" s="13" t="s">
        <v>88</v>
      </c>
      <c r="C131" s="14"/>
      <c r="D131" s="14"/>
      <c r="E131" s="14"/>
      <c r="F131" s="24">
        <v>587319.81050000002</v>
      </c>
      <c r="G131" s="25">
        <v>0.2414</v>
      </c>
      <c r="H131" s="26"/>
      <c r="I131" s="27"/>
    </row>
    <row r="132" spans="1:9" ht="12.9" customHeight="1">
      <c r="A132" s="5"/>
      <c r="B132" s="13" t="s">
        <v>312</v>
      </c>
      <c r="C132" s="14"/>
      <c r="D132" s="14"/>
      <c r="E132" s="14"/>
      <c r="F132" s="5"/>
      <c r="G132" s="15"/>
      <c r="H132" s="15"/>
      <c r="I132" s="16"/>
    </row>
    <row r="133" spans="1:9" ht="12.9" customHeight="1">
      <c r="A133" s="17" t="s">
        <v>2399</v>
      </c>
      <c r="B133" s="18" t="s">
        <v>2400</v>
      </c>
      <c r="C133" s="14" t="s">
        <v>2401</v>
      </c>
      <c r="D133" s="14" t="s">
        <v>84</v>
      </c>
      <c r="E133" s="19">
        <v>55000000</v>
      </c>
      <c r="F133" s="20">
        <v>53582.595000000001</v>
      </c>
      <c r="G133" s="21">
        <v>2.1999999999999999E-2</v>
      </c>
      <c r="H133" s="22">
        <v>5.4549E-2</v>
      </c>
      <c r="I133" s="23"/>
    </row>
    <row r="134" spans="1:9" ht="12.9" customHeight="1">
      <c r="A134" s="17" t="s">
        <v>1567</v>
      </c>
      <c r="B134" s="18" t="s">
        <v>1568</v>
      </c>
      <c r="C134" s="14" t="s">
        <v>1569</v>
      </c>
      <c r="D134" s="14" t="s">
        <v>84</v>
      </c>
      <c r="E134" s="19">
        <v>36000000</v>
      </c>
      <c r="F134" s="20">
        <v>35290.296000000002</v>
      </c>
      <c r="G134" s="21">
        <v>1.4500000000000001E-2</v>
      </c>
      <c r="H134" s="22">
        <v>5.4373999999999999E-2</v>
      </c>
      <c r="I134" s="23"/>
    </row>
    <row r="135" spans="1:9" ht="12.9" customHeight="1">
      <c r="A135" s="17" t="s">
        <v>2402</v>
      </c>
      <c r="B135" s="18" t="s">
        <v>2403</v>
      </c>
      <c r="C135" s="14" t="s">
        <v>2404</v>
      </c>
      <c r="D135" s="14" t="s">
        <v>84</v>
      </c>
      <c r="E135" s="19">
        <v>30000000</v>
      </c>
      <c r="F135" s="20">
        <v>28553.64</v>
      </c>
      <c r="G135" s="21">
        <v>1.17E-2</v>
      </c>
      <c r="H135" s="22">
        <v>5.4699999999999999E-2</v>
      </c>
      <c r="I135" s="23"/>
    </row>
    <row r="136" spans="1:9" ht="12.9" customHeight="1">
      <c r="A136" s="17" t="s">
        <v>2405</v>
      </c>
      <c r="B136" s="18" t="s">
        <v>2406</v>
      </c>
      <c r="C136" s="14" t="s">
        <v>2407</v>
      </c>
      <c r="D136" s="14" t="s">
        <v>84</v>
      </c>
      <c r="E136" s="19">
        <v>25000000</v>
      </c>
      <c r="F136" s="20">
        <v>23815.825000000001</v>
      </c>
      <c r="G136" s="21">
        <v>9.7999999999999997E-3</v>
      </c>
      <c r="H136" s="22">
        <v>5.4829999999999997E-2</v>
      </c>
      <c r="I136" s="23"/>
    </row>
    <row r="137" spans="1:9" ht="12.9" customHeight="1">
      <c r="A137" s="17" t="s">
        <v>2408</v>
      </c>
      <c r="B137" s="18" t="s">
        <v>2409</v>
      </c>
      <c r="C137" s="14" t="s">
        <v>2410</v>
      </c>
      <c r="D137" s="14" t="s">
        <v>84</v>
      </c>
      <c r="E137" s="19">
        <v>20000000</v>
      </c>
      <c r="F137" s="20">
        <v>19790.62</v>
      </c>
      <c r="G137" s="21">
        <v>8.0999999999999996E-3</v>
      </c>
      <c r="H137" s="22">
        <v>5.2899000000000002E-2</v>
      </c>
      <c r="I137" s="23"/>
    </row>
    <row r="138" spans="1:9" ht="12.9" customHeight="1">
      <c r="A138" s="17" t="s">
        <v>2411</v>
      </c>
      <c r="B138" s="18" t="s">
        <v>2412</v>
      </c>
      <c r="C138" s="14" t="s">
        <v>2413</v>
      </c>
      <c r="D138" s="14" t="s">
        <v>84</v>
      </c>
      <c r="E138" s="19">
        <v>13500000</v>
      </c>
      <c r="F138" s="20">
        <v>12889.179</v>
      </c>
      <c r="G138" s="21">
        <v>5.3E-3</v>
      </c>
      <c r="H138" s="22">
        <v>5.4566000000000003E-2</v>
      </c>
      <c r="I138" s="23"/>
    </row>
    <row r="139" spans="1:9" ht="12.9" customHeight="1">
      <c r="A139" s="17" t="s">
        <v>2414</v>
      </c>
      <c r="B139" s="18" t="s">
        <v>2415</v>
      </c>
      <c r="C139" s="14" t="s">
        <v>2416</v>
      </c>
      <c r="D139" s="14" t="s">
        <v>84</v>
      </c>
      <c r="E139" s="19">
        <v>11500000</v>
      </c>
      <c r="F139" s="20">
        <v>11237.455</v>
      </c>
      <c r="G139" s="21">
        <v>4.5999999999999999E-3</v>
      </c>
      <c r="H139" s="22">
        <v>5.4665999999999999E-2</v>
      </c>
      <c r="I139" s="23"/>
    </row>
    <row r="140" spans="1:9" ht="12.9" customHeight="1">
      <c r="A140" s="17" t="s">
        <v>2088</v>
      </c>
      <c r="B140" s="18" t="s">
        <v>2089</v>
      </c>
      <c r="C140" s="14" t="s">
        <v>2090</v>
      </c>
      <c r="D140" s="14" t="s">
        <v>84</v>
      </c>
      <c r="E140" s="19">
        <v>10000000</v>
      </c>
      <c r="F140" s="20">
        <v>9936.6299999999992</v>
      </c>
      <c r="G140" s="21">
        <v>4.1000000000000003E-3</v>
      </c>
      <c r="H140" s="22">
        <v>5.2900000000000003E-2</v>
      </c>
      <c r="I140" s="23"/>
    </row>
    <row r="141" spans="1:9" ht="12.9" customHeight="1">
      <c r="A141" s="17" t="s">
        <v>2417</v>
      </c>
      <c r="B141" s="18" t="s">
        <v>2418</v>
      </c>
      <c r="C141" s="14" t="s">
        <v>2419</v>
      </c>
      <c r="D141" s="14" t="s">
        <v>84</v>
      </c>
      <c r="E141" s="19">
        <v>10000000</v>
      </c>
      <c r="F141" s="20">
        <v>9624.2900000000009</v>
      </c>
      <c r="G141" s="21">
        <v>4.0000000000000001E-3</v>
      </c>
      <c r="H141" s="22">
        <v>5.4593999999999997E-2</v>
      </c>
      <c r="I141" s="23"/>
    </row>
    <row r="142" spans="1:9" ht="12.9" customHeight="1">
      <c r="A142" s="17" t="s">
        <v>2420</v>
      </c>
      <c r="B142" s="18" t="s">
        <v>2421</v>
      </c>
      <c r="C142" s="14" t="s">
        <v>2422</v>
      </c>
      <c r="D142" s="14" t="s">
        <v>84</v>
      </c>
      <c r="E142" s="19">
        <v>6500000</v>
      </c>
      <c r="F142" s="20">
        <v>6478.5694999999996</v>
      </c>
      <c r="G142" s="21">
        <v>2.7000000000000001E-3</v>
      </c>
      <c r="H142" s="22">
        <v>5.2499999999999998E-2</v>
      </c>
      <c r="I142" s="23"/>
    </row>
    <row r="143" spans="1:9" ht="12.9" customHeight="1">
      <c r="A143" s="17" t="s">
        <v>2423</v>
      </c>
      <c r="B143" s="18" t="s">
        <v>2424</v>
      </c>
      <c r="C143" s="14" t="s">
        <v>2425</v>
      </c>
      <c r="D143" s="14" t="s">
        <v>84</v>
      </c>
      <c r="E143" s="19">
        <v>5000000</v>
      </c>
      <c r="F143" s="20">
        <v>4782.915</v>
      </c>
      <c r="G143" s="21">
        <v>2E-3</v>
      </c>
      <c r="H143" s="22">
        <v>5.4675000000000001E-2</v>
      </c>
      <c r="I143" s="23"/>
    </row>
    <row r="144" spans="1:9" ht="12.9" customHeight="1">
      <c r="A144" s="17" t="s">
        <v>2426</v>
      </c>
      <c r="B144" s="18" t="s">
        <v>2427</v>
      </c>
      <c r="C144" s="14" t="s">
        <v>2428</v>
      </c>
      <c r="D144" s="14" t="s">
        <v>84</v>
      </c>
      <c r="E144" s="19">
        <v>2000000</v>
      </c>
      <c r="F144" s="20">
        <v>1911.0920000000001</v>
      </c>
      <c r="G144" s="21">
        <v>8.0000000000000004E-4</v>
      </c>
      <c r="H144" s="22">
        <v>5.4600000000000003E-2</v>
      </c>
      <c r="I144" s="23"/>
    </row>
    <row r="145" spans="1:9" ht="12.9" customHeight="1">
      <c r="A145" s="17" t="s">
        <v>2429</v>
      </c>
      <c r="B145" s="18" t="s">
        <v>2430</v>
      </c>
      <c r="C145" s="14" t="s">
        <v>2431</v>
      </c>
      <c r="D145" s="14" t="s">
        <v>84</v>
      </c>
      <c r="E145" s="19">
        <v>1000000</v>
      </c>
      <c r="F145" s="20">
        <v>992.70399999999995</v>
      </c>
      <c r="G145" s="21">
        <v>4.0000000000000002E-4</v>
      </c>
      <c r="H145" s="22">
        <v>5.2600000000000001E-2</v>
      </c>
      <c r="I145" s="23"/>
    </row>
    <row r="146" spans="1:9" ht="12.9" customHeight="1">
      <c r="A146" s="17" t="s">
        <v>2432</v>
      </c>
      <c r="B146" s="18" t="s">
        <v>2433</v>
      </c>
      <c r="C146" s="14" t="s">
        <v>2434</v>
      </c>
      <c r="D146" s="14" t="s">
        <v>84</v>
      </c>
      <c r="E146" s="19">
        <v>442100</v>
      </c>
      <c r="F146" s="20">
        <v>421.56</v>
      </c>
      <c r="G146" s="21">
        <v>2.0000000000000001E-4</v>
      </c>
      <c r="H146" s="22">
        <v>5.4719999999999998E-2</v>
      </c>
      <c r="I146" s="23"/>
    </row>
    <row r="147" spans="1:9" ht="12.9" customHeight="1">
      <c r="A147" s="5"/>
      <c r="B147" s="13" t="s">
        <v>88</v>
      </c>
      <c r="C147" s="14"/>
      <c r="D147" s="14"/>
      <c r="E147" s="14"/>
      <c r="F147" s="24">
        <v>219307.37049999999</v>
      </c>
      <c r="G147" s="25">
        <v>9.01E-2</v>
      </c>
      <c r="H147" s="26"/>
      <c r="I147" s="27"/>
    </row>
    <row r="148" spans="1:9" ht="12.9" customHeight="1">
      <c r="A148" s="5"/>
      <c r="B148" s="28" t="s">
        <v>91</v>
      </c>
      <c r="C148" s="29"/>
      <c r="D148" s="2"/>
      <c r="E148" s="29"/>
      <c r="F148" s="24">
        <v>2264276.165</v>
      </c>
      <c r="G148" s="25">
        <v>0.93049999999999999</v>
      </c>
      <c r="H148" s="26"/>
      <c r="I148" s="27"/>
    </row>
    <row r="149" spans="1:9" ht="12.9" customHeight="1">
      <c r="A149" s="5"/>
      <c r="B149" s="13" t="s">
        <v>285</v>
      </c>
      <c r="C149" s="14"/>
      <c r="D149" s="14"/>
      <c r="E149" s="14"/>
      <c r="F149" s="14"/>
      <c r="G149" s="14"/>
      <c r="H149" s="15"/>
      <c r="I149" s="16"/>
    </row>
    <row r="150" spans="1:9" ht="12.9" customHeight="1">
      <c r="A150" s="5"/>
      <c r="B150" s="13" t="s">
        <v>789</v>
      </c>
      <c r="C150" s="14"/>
      <c r="D150" s="14"/>
      <c r="E150" s="14"/>
      <c r="F150" s="5"/>
      <c r="G150" s="15"/>
      <c r="H150" s="15"/>
      <c r="I150" s="16"/>
    </row>
    <row r="151" spans="1:9" ht="12.9" customHeight="1">
      <c r="A151" s="17" t="s">
        <v>790</v>
      </c>
      <c r="B151" s="18" t="s">
        <v>791</v>
      </c>
      <c r="C151" s="14" t="s">
        <v>792</v>
      </c>
      <c r="D151" s="14"/>
      <c r="E151" s="19">
        <v>45211.735999999997</v>
      </c>
      <c r="F151" s="20">
        <v>5207.9431999999997</v>
      </c>
      <c r="G151" s="21">
        <v>2.0999999999999999E-3</v>
      </c>
      <c r="H151" s="22"/>
      <c r="I151" s="23"/>
    </row>
    <row r="152" spans="1:9" ht="12.9" customHeight="1">
      <c r="A152" s="5"/>
      <c r="B152" s="13" t="s">
        <v>88</v>
      </c>
      <c r="C152" s="14"/>
      <c r="D152" s="14"/>
      <c r="E152" s="14"/>
      <c r="F152" s="24">
        <v>5207.9431999999997</v>
      </c>
      <c r="G152" s="25">
        <v>2.0999999999999999E-3</v>
      </c>
      <c r="H152" s="26"/>
      <c r="I152" s="27"/>
    </row>
    <row r="153" spans="1:9" ht="12.9" customHeight="1">
      <c r="A153" s="5"/>
      <c r="B153" s="28" t="s">
        <v>91</v>
      </c>
      <c r="C153" s="29"/>
      <c r="D153" s="2"/>
      <c r="E153" s="29"/>
      <c r="F153" s="24">
        <v>5207.9431999999997</v>
      </c>
      <c r="G153" s="25">
        <v>2.0999999999999999E-3</v>
      </c>
      <c r="H153" s="26"/>
      <c r="I153" s="27"/>
    </row>
    <row r="154" spans="1:9" ht="12.9" customHeight="1">
      <c r="A154" s="5"/>
      <c r="B154" s="13" t="s">
        <v>92</v>
      </c>
      <c r="C154" s="14"/>
      <c r="D154" s="14"/>
      <c r="E154" s="14"/>
      <c r="F154" s="14"/>
      <c r="G154" s="14"/>
      <c r="H154" s="15"/>
      <c r="I154" s="16"/>
    </row>
    <row r="155" spans="1:9" ht="12.9" customHeight="1">
      <c r="A155" s="17" t="s">
        <v>93</v>
      </c>
      <c r="B155" s="18" t="s">
        <v>94</v>
      </c>
      <c r="C155" s="14"/>
      <c r="D155" s="14"/>
      <c r="E155" s="19"/>
      <c r="F155" s="20">
        <v>123952.18</v>
      </c>
      <c r="G155" s="21">
        <v>5.0900000000000001E-2</v>
      </c>
      <c r="H155" s="22">
        <v>5.0765164091876987E-2</v>
      </c>
      <c r="I155" s="23"/>
    </row>
    <row r="156" spans="1:9" ht="12.9" customHeight="1">
      <c r="A156" s="5"/>
      <c r="B156" s="13" t="s">
        <v>88</v>
      </c>
      <c r="C156" s="14"/>
      <c r="D156" s="14"/>
      <c r="E156" s="14"/>
      <c r="F156" s="24">
        <v>123952.18</v>
      </c>
      <c r="G156" s="25">
        <v>5.0900000000000001E-2</v>
      </c>
      <c r="H156" s="26"/>
      <c r="I156" s="27"/>
    </row>
    <row r="157" spans="1:9" ht="12.9" customHeight="1">
      <c r="A157" s="5"/>
      <c r="B157" s="28" t="s">
        <v>91</v>
      </c>
      <c r="C157" s="29"/>
      <c r="D157" s="2"/>
      <c r="E157" s="29"/>
      <c r="F157" s="24">
        <v>123952.18</v>
      </c>
      <c r="G157" s="25">
        <v>5.0900000000000001E-2</v>
      </c>
      <c r="H157" s="26"/>
      <c r="I157" s="27"/>
    </row>
    <row r="158" spans="1:9" ht="12.9" customHeight="1">
      <c r="A158" s="5"/>
      <c r="B158" s="28" t="s">
        <v>96</v>
      </c>
      <c r="C158" s="14"/>
      <c r="D158" s="2"/>
      <c r="E158" s="14"/>
      <c r="F158" s="31">
        <v>-7088.3377</v>
      </c>
      <c r="G158" s="25">
        <v>-2.8999999999999998E-3</v>
      </c>
      <c r="H158" s="26"/>
      <c r="I158" s="27"/>
    </row>
    <row r="159" spans="1:9" ht="12.9" customHeight="1">
      <c r="A159" s="5"/>
      <c r="B159" s="32" t="s">
        <v>97</v>
      </c>
      <c r="C159" s="33"/>
      <c r="D159" s="33"/>
      <c r="E159" s="33"/>
      <c r="F159" s="34">
        <v>2433476.35</v>
      </c>
      <c r="G159" s="35">
        <v>1</v>
      </c>
      <c r="H159" s="36"/>
      <c r="I159" s="37"/>
    </row>
    <row r="160" spans="1:9" ht="12.9" customHeight="1">
      <c r="A160" s="5"/>
      <c r="B160" s="7"/>
      <c r="C160" s="5"/>
      <c r="D160" s="5"/>
      <c r="E160" s="5"/>
      <c r="F160" s="5"/>
      <c r="G160" s="5"/>
      <c r="H160" s="5"/>
      <c r="I160" s="5"/>
    </row>
    <row r="161" spans="1:9" ht="12.9" customHeight="1">
      <c r="A161" s="5"/>
      <c r="B161" s="4" t="s">
        <v>146</v>
      </c>
      <c r="C161" s="5"/>
      <c r="D161" s="5"/>
      <c r="E161" s="5"/>
      <c r="F161" s="5"/>
      <c r="G161" s="5"/>
      <c r="H161" s="5"/>
      <c r="I161" s="5"/>
    </row>
    <row r="162" spans="1:9" ht="12.9" customHeight="1">
      <c r="A162" s="5"/>
      <c r="B162" s="4" t="s">
        <v>99</v>
      </c>
      <c r="C162" s="5"/>
      <c r="D162" s="5"/>
      <c r="E162" s="5"/>
      <c r="F162" s="5"/>
      <c r="G162" s="5"/>
      <c r="H162" s="5"/>
      <c r="I162" s="5"/>
    </row>
    <row r="163" spans="1:9" ht="26.1" customHeight="1">
      <c r="A163" s="5"/>
      <c r="B163" s="50" t="s">
        <v>100</v>
      </c>
      <c r="C163" s="50"/>
      <c r="D163" s="50"/>
      <c r="E163" s="50"/>
      <c r="F163" s="50"/>
      <c r="G163" s="50"/>
      <c r="H163" s="50"/>
      <c r="I163" s="50"/>
    </row>
    <row r="164" spans="1:9" ht="12.9" customHeight="1">
      <c r="A164" s="5"/>
      <c r="B164" s="50" t="s">
        <v>101</v>
      </c>
      <c r="C164" s="50"/>
      <c r="D164" s="50"/>
      <c r="E164" s="50"/>
      <c r="F164" s="50"/>
      <c r="G164" s="50"/>
      <c r="H164" s="50"/>
      <c r="I164" s="50"/>
    </row>
    <row r="165" spans="1:9" ht="12.9" customHeight="1">
      <c r="A165" s="5"/>
      <c r="B165" s="50"/>
      <c r="C165" s="50"/>
      <c r="D165" s="50"/>
      <c r="E165" s="50"/>
      <c r="F165" s="50"/>
      <c r="G165" s="50"/>
      <c r="H165" s="50"/>
      <c r="I165" s="50"/>
    </row>
    <row r="166" spans="1:9" ht="12.9" customHeight="1">
      <c r="A166" s="5"/>
      <c r="B166" s="53" t="s">
        <v>2435</v>
      </c>
      <c r="C166" s="53"/>
      <c r="D166" s="53"/>
      <c r="E166" s="53"/>
      <c r="F166" s="5"/>
      <c r="G166" s="5"/>
      <c r="H166" s="5"/>
      <c r="I166" s="5"/>
    </row>
    <row r="167" spans="1:9" ht="12.9" customHeight="1">
      <c r="A167" s="5"/>
      <c r="B167" s="50"/>
      <c r="C167" s="50"/>
      <c r="D167" s="50"/>
      <c r="E167" s="50"/>
      <c r="F167" s="50"/>
      <c r="G167" s="50"/>
      <c r="H167" s="50"/>
      <c r="I167" s="50"/>
    </row>
    <row r="168" spans="1:9" ht="12.9" customHeight="1">
      <c r="A168" s="5"/>
      <c r="B168" s="5"/>
      <c r="C168" s="51" t="s">
        <v>2436</v>
      </c>
      <c r="D168" s="51"/>
      <c r="E168" s="51"/>
      <c r="F168" s="51"/>
      <c r="G168" s="5"/>
      <c r="H168" s="5"/>
      <c r="I168" s="5"/>
    </row>
    <row r="169" spans="1:9" ht="12.9" customHeight="1">
      <c r="A169" s="5"/>
      <c r="B169" s="38" t="s">
        <v>103</v>
      </c>
      <c r="C169" s="51" t="s">
        <v>104</v>
      </c>
      <c r="D169" s="51"/>
      <c r="E169" s="51"/>
      <c r="F169" s="51"/>
      <c r="G169" s="5"/>
      <c r="H169" s="5"/>
      <c r="I169" s="5"/>
    </row>
    <row r="170" spans="1:9" ht="135" customHeight="1">
      <c r="A170" s="5"/>
      <c r="B170" s="39"/>
      <c r="C170" s="52"/>
      <c r="D170" s="52"/>
      <c r="E170" s="5"/>
      <c r="F170" s="5"/>
      <c r="G170" s="5"/>
      <c r="H170" s="5"/>
      <c r="I170" s="5"/>
    </row>
  </sheetData>
  <mergeCells count="8">
    <mergeCell ref="C168:F168"/>
    <mergeCell ref="C169:F169"/>
    <mergeCell ref="C170:D170"/>
    <mergeCell ref="B163:I163"/>
    <mergeCell ref="B164:I164"/>
    <mergeCell ref="B165:I165"/>
    <mergeCell ref="B166:E166"/>
    <mergeCell ref="B167:I167"/>
  </mergeCells>
  <hyperlinks>
    <hyperlink ref="A1" location="AxisMoneyMarketFund" display="AXISMMF" xr:uid="{00000000-0004-0000-3300-000000000000}"/>
    <hyperlink ref="B1" location="AxisMoneyMarketFund" display="Axis Money Market Fund" xr:uid="{00000000-0004-0000-3300-000001000000}"/>
  </hyperlinks>
  <pageMargins left="0" right="0" top="0" bottom="0" header="0" footer="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/>
  </sheetPr>
  <dimension ref="A1:I40"/>
  <sheetViews>
    <sheetView workbookViewId="0">
      <selection activeCell="B35" sqref="B35:I35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49</v>
      </c>
      <c r="B1" s="4" t="s">
        <v>50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830</v>
      </c>
      <c r="B7" s="18" t="s">
        <v>831</v>
      </c>
      <c r="C7" s="14" t="s">
        <v>832</v>
      </c>
      <c r="D7" s="14" t="s">
        <v>109</v>
      </c>
      <c r="E7" s="19">
        <v>500</v>
      </c>
      <c r="F7" s="20">
        <v>506.76549999999997</v>
      </c>
      <c r="G7" s="21">
        <v>8.9300000000000004E-2</v>
      </c>
      <c r="H7" s="22">
        <v>7.2800000000000004E-2</v>
      </c>
      <c r="I7" s="23"/>
    </row>
    <row r="8" spans="1:9" ht="12.9" customHeight="1">
      <c r="A8" s="17" t="s">
        <v>676</v>
      </c>
      <c r="B8" s="18" t="s">
        <v>677</v>
      </c>
      <c r="C8" s="14" t="s">
        <v>678</v>
      </c>
      <c r="D8" s="14" t="s">
        <v>372</v>
      </c>
      <c r="E8" s="19">
        <v>500</v>
      </c>
      <c r="F8" s="20">
        <v>506.642</v>
      </c>
      <c r="G8" s="21">
        <v>8.9300000000000004E-2</v>
      </c>
      <c r="H8" s="22">
        <v>7.2692999999999994E-2</v>
      </c>
      <c r="I8" s="23"/>
    </row>
    <row r="9" spans="1:9" ht="12.9" customHeight="1">
      <c r="A9" s="17" t="s">
        <v>833</v>
      </c>
      <c r="B9" s="18" t="s">
        <v>834</v>
      </c>
      <c r="C9" s="14" t="s">
        <v>835</v>
      </c>
      <c r="D9" s="14" t="s">
        <v>372</v>
      </c>
      <c r="E9" s="19">
        <v>500</v>
      </c>
      <c r="F9" s="20">
        <v>506.27100000000002</v>
      </c>
      <c r="G9" s="21">
        <v>8.9200000000000002E-2</v>
      </c>
      <c r="H9" s="22">
        <v>7.1650000000000005E-2</v>
      </c>
      <c r="I9" s="23"/>
    </row>
    <row r="10" spans="1:9" ht="12.9" customHeight="1">
      <c r="A10" s="17" t="s">
        <v>842</v>
      </c>
      <c r="B10" s="18" t="s">
        <v>843</v>
      </c>
      <c r="C10" s="14" t="s">
        <v>844</v>
      </c>
      <c r="D10" s="14" t="s">
        <v>109</v>
      </c>
      <c r="E10" s="19">
        <v>500</v>
      </c>
      <c r="F10" s="20">
        <v>505.68549999999999</v>
      </c>
      <c r="G10" s="21">
        <v>8.9099999999999999E-2</v>
      </c>
      <c r="H10" s="22">
        <v>7.1800000000000003E-2</v>
      </c>
      <c r="I10" s="23"/>
    </row>
    <row r="11" spans="1:9" ht="12.9" customHeight="1">
      <c r="A11" s="17" t="s">
        <v>2437</v>
      </c>
      <c r="B11" s="18" t="s">
        <v>2438</v>
      </c>
      <c r="C11" s="14" t="s">
        <v>2439</v>
      </c>
      <c r="D11" s="14" t="s">
        <v>109</v>
      </c>
      <c r="E11" s="19">
        <v>500</v>
      </c>
      <c r="F11" s="20">
        <v>505.37349999999998</v>
      </c>
      <c r="G11" s="21">
        <v>8.9099999999999999E-2</v>
      </c>
      <c r="H11" s="22">
        <v>7.1050000000000002E-2</v>
      </c>
      <c r="I11" s="23"/>
    </row>
    <row r="12" spans="1:9" ht="12.9" customHeight="1">
      <c r="A12" s="17" t="s">
        <v>2440</v>
      </c>
      <c r="B12" s="18" t="s">
        <v>2441</v>
      </c>
      <c r="C12" s="14" t="s">
        <v>2442</v>
      </c>
      <c r="D12" s="14" t="s">
        <v>109</v>
      </c>
      <c r="E12" s="19">
        <v>500</v>
      </c>
      <c r="F12" s="20">
        <v>505.2355</v>
      </c>
      <c r="G12" s="21">
        <v>8.8999999999999996E-2</v>
      </c>
      <c r="H12" s="22">
        <v>6.9750000000000006E-2</v>
      </c>
      <c r="I12" s="23"/>
    </row>
    <row r="13" spans="1:9" ht="12.9" customHeight="1">
      <c r="A13" s="17" t="s">
        <v>2443</v>
      </c>
      <c r="B13" s="18" t="s">
        <v>2444</v>
      </c>
      <c r="C13" s="14" t="s">
        <v>2445</v>
      </c>
      <c r="D13" s="14" t="s">
        <v>109</v>
      </c>
      <c r="E13" s="19">
        <v>50</v>
      </c>
      <c r="F13" s="20">
        <v>504.02249999999998</v>
      </c>
      <c r="G13" s="21">
        <v>8.8800000000000004E-2</v>
      </c>
      <c r="H13" s="22">
        <v>7.0400000000000004E-2</v>
      </c>
      <c r="I13" s="23"/>
    </row>
    <row r="14" spans="1:9" ht="12.9" customHeight="1">
      <c r="A14" s="17" t="s">
        <v>818</v>
      </c>
      <c r="B14" s="18" t="s">
        <v>819</v>
      </c>
      <c r="C14" s="14" t="s">
        <v>820</v>
      </c>
      <c r="D14" s="14" t="s">
        <v>109</v>
      </c>
      <c r="E14" s="19">
        <v>350</v>
      </c>
      <c r="F14" s="20">
        <v>354.31549999999999</v>
      </c>
      <c r="G14" s="21">
        <v>6.2399999999999997E-2</v>
      </c>
      <c r="H14" s="22">
        <v>7.1800000000000003E-2</v>
      </c>
      <c r="I14" s="23"/>
    </row>
    <row r="15" spans="1:9" ht="12.9" customHeight="1">
      <c r="A15" s="17" t="s">
        <v>854</v>
      </c>
      <c r="B15" s="18" t="s">
        <v>855</v>
      </c>
      <c r="C15" s="14" t="s">
        <v>856</v>
      </c>
      <c r="D15" s="14" t="s">
        <v>109</v>
      </c>
      <c r="E15" s="19">
        <v>300</v>
      </c>
      <c r="F15" s="20">
        <v>304.233</v>
      </c>
      <c r="G15" s="21">
        <v>5.3600000000000002E-2</v>
      </c>
      <c r="H15" s="22">
        <v>7.3050000000000004E-2</v>
      </c>
      <c r="I15" s="23"/>
    </row>
    <row r="16" spans="1:9" ht="12.9" customHeight="1">
      <c r="A16" s="17" t="s">
        <v>827</v>
      </c>
      <c r="B16" s="18" t="s">
        <v>828</v>
      </c>
      <c r="C16" s="14" t="s">
        <v>829</v>
      </c>
      <c r="D16" s="14" t="s">
        <v>109</v>
      </c>
      <c r="E16" s="19">
        <v>300</v>
      </c>
      <c r="F16" s="20">
        <v>303.80309999999997</v>
      </c>
      <c r="G16" s="21">
        <v>5.3499999999999999E-2</v>
      </c>
      <c r="H16" s="22">
        <v>7.2907E-2</v>
      </c>
      <c r="I16" s="23"/>
    </row>
    <row r="17" spans="1:9" ht="12.9" customHeight="1">
      <c r="A17" s="17" t="s">
        <v>2446</v>
      </c>
      <c r="B17" s="18" t="s">
        <v>2447</v>
      </c>
      <c r="C17" s="14" t="s">
        <v>2448</v>
      </c>
      <c r="D17" s="14" t="s">
        <v>109</v>
      </c>
      <c r="E17" s="19">
        <v>300</v>
      </c>
      <c r="F17" s="20">
        <v>303.33539999999999</v>
      </c>
      <c r="G17" s="21">
        <v>5.3499999999999999E-2</v>
      </c>
      <c r="H17" s="22">
        <v>7.0400000000000004E-2</v>
      </c>
      <c r="I17" s="23"/>
    </row>
    <row r="18" spans="1:9" ht="12.9" customHeight="1">
      <c r="A18" s="17" t="s">
        <v>727</v>
      </c>
      <c r="B18" s="18" t="s">
        <v>728</v>
      </c>
      <c r="C18" s="14" t="s">
        <v>729</v>
      </c>
      <c r="D18" s="14" t="s">
        <v>109</v>
      </c>
      <c r="E18" s="19">
        <v>250</v>
      </c>
      <c r="F18" s="20">
        <v>253.446</v>
      </c>
      <c r="G18" s="21">
        <v>4.4699999999999997E-2</v>
      </c>
      <c r="H18" s="22">
        <v>7.1599999999999997E-2</v>
      </c>
      <c r="I18" s="23"/>
    </row>
    <row r="19" spans="1:9" ht="12.9" customHeight="1">
      <c r="A19" s="17" t="s">
        <v>742</v>
      </c>
      <c r="B19" s="18" t="s">
        <v>743</v>
      </c>
      <c r="C19" s="14" t="s">
        <v>744</v>
      </c>
      <c r="D19" s="14" t="s">
        <v>109</v>
      </c>
      <c r="E19" s="19">
        <v>100</v>
      </c>
      <c r="F19" s="20">
        <v>101.25409999999999</v>
      </c>
      <c r="G19" s="21">
        <v>1.78E-2</v>
      </c>
      <c r="H19" s="22">
        <v>7.1849999999999997E-2</v>
      </c>
      <c r="I19" s="23"/>
    </row>
    <row r="20" spans="1:9" ht="12.9" customHeight="1">
      <c r="A20" s="5"/>
      <c r="B20" s="13" t="s">
        <v>88</v>
      </c>
      <c r="C20" s="14"/>
      <c r="D20" s="14"/>
      <c r="E20" s="14"/>
      <c r="F20" s="24">
        <v>5160.3825999999999</v>
      </c>
      <c r="G20" s="25">
        <v>0.90949999999999998</v>
      </c>
      <c r="H20" s="26"/>
      <c r="I20" s="27"/>
    </row>
    <row r="21" spans="1:9" ht="12.9" customHeight="1">
      <c r="A21" s="5"/>
      <c r="B21" s="28" t="s">
        <v>89</v>
      </c>
      <c r="C21" s="2"/>
      <c r="D21" s="2"/>
      <c r="E21" s="2"/>
      <c r="F21" s="26" t="s">
        <v>90</v>
      </c>
      <c r="G21" s="26" t="s">
        <v>90</v>
      </c>
      <c r="H21" s="26"/>
      <c r="I21" s="27"/>
    </row>
    <row r="22" spans="1:9" ht="12.9" customHeight="1">
      <c r="A22" s="5"/>
      <c r="B22" s="28" t="s">
        <v>88</v>
      </c>
      <c r="C22" s="2"/>
      <c r="D22" s="2"/>
      <c r="E22" s="2"/>
      <c r="F22" s="26" t="s">
        <v>90</v>
      </c>
      <c r="G22" s="26" t="s">
        <v>90</v>
      </c>
      <c r="H22" s="26"/>
      <c r="I22" s="27"/>
    </row>
    <row r="23" spans="1:9" ht="12.9" customHeight="1">
      <c r="A23" s="5"/>
      <c r="B23" s="28" t="s">
        <v>91</v>
      </c>
      <c r="C23" s="29"/>
      <c r="D23" s="2"/>
      <c r="E23" s="29"/>
      <c r="F23" s="24">
        <v>5160.3825999999999</v>
      </c>
      <c r="G23" s="25">
        <v>0.90949999999999998</v>
      </c>
      <c r="H23" s="26"/>
      <c r="I23" s="27"/>
    </row>
    <row r="24" spans="1:9" ht="12.9" customHeight="1">
      <c r="A24" s="5"/>
      <c r="B24" s="13" t="s">
        <v>92</v>
      </c>
      <c r="C24" s="14"/>
      <c r="D24" s="14"/>
      <c r="E24" s="14"/>
      <c r="F24" s="14"/>
      <c r="G24" s="14"/>
      <c r="H24" s="15"/>
      <c r="I24" s="16"/>
    </row>
    <row r="25" spans="1:9" ht="12.9" customHeight="1">
      <c r="A25" s="17" t="s">
        <v>93</v>
      </c>
      <c r="B25" s="18" t="s">
        <v>94</v>
      </c>
      <c r="C25" s="14"/>
      <c r="D25" s="14"/>
      <c r="E25" s="19"/>
      <c r="F25" s="20">
        <v>251.34</v>
      </c>
      <c r="G25" s="21">
        <v>4.4299999999999999E-2</v>
      </c>
      <c r="H25" s="22">
        <v>5.0765207908410347E-2</v>
      </c>
      <c r="I25" s="23"/>
    </row>
    <row r="26" spans="1:9" ht="12.9" customHeight="1">
      <c r="A26" s="5"/>
      <c r="B26" s="13" t="s">
        <v>88</v>
      </c>
      <c r="C26" s="14"/>
      <c r="D26" s="14"/>
      <c r="E26" s="14"/>
      <c r="F26" s="24">
        <v>251.34</v>
      </c>
      <c r="G26" s="25">
        <v>4.4299999999999999E-2</v>
      </c>
      <c r="H26" s="26"/>
      <c r="I26" s="27"/>
    </row>
    <row r="27" spans="1:9" ht="12.9" customHeight="1">
      <c r="A27" s="5"/>
      <c r="B27" s="28" t="s">
        <v>91</v>
      </c>
      <c r="C27" s="29"/>
      <c r="D27" s="2"/>
      <c r="E27" s="29"/>
      <c r="F27" s="24">
        <v>251.34</v>
      </c>
      <c r="G27" s="25">
        <v>4.4299999999999999E-2</v>
      </c>
      <c r="H27" s="26"/>
      <c r="I27" s="27"/>
    </row>
    <row r="28" spans="1:9" ht="12.9" customHeight="1">
      <c r="A28" s="5"/>
      <c r="B28" s="28" t="s">
        <v>96</v>
      </c>
      <c r="C28" s="14"/>
      <c r="D28" s="2"/>
      <c r="E28" s="14"/>
      <c r="F28" s="31">
        <v>261.93740000000003</v>
      </c>
      <c r="G28" s="25">
        <v>4.6199999999999998E-2</v>
      </c>
      <c r="H28" s="26"/>
      <c r="I28" s="27"/>
    </row>
    <row r="29" spans="1:9" ht="12.9" customHeight="1">
      <c r="A29" s="5"/>
      <c r="B29" s="32" t="s">
        <v>97</v>
      </c>
      <c r="C29" s="33"/>
      <c r="D29" s="33"/>
      <c r="E29" s="33"/>
      <c r="F29" s="34">
        <v>5673.66</v>
      </c>
      <c r="G29" s="35">
        <v>1</v>
      </c>
      <c r="H29" s="36"/>
      <c r="I29" s="37"/>
    </row>
    <row r="30" spans="1:9" ht="12.9" customHeight="1">
      <c r="A30" s="5"/>
      <c r="B30" s="7"/>
      <c r="C30" s="5"/>
      <c r="D30" s="5"/>
      <c r="E30" s="5"/>
      <c r="F30" s="5"/>
      <c r="G30" s="5"/>
      <c r="H30" s="5"/>
      <c r="I30" s="5"/>
    </row>
    <row r="31" spans="1:9" ht="12.9" customHeight="1">
      <c r="A31" s="5"/>
      <c r="B31" s="4" t="s">
        <v>146</v>
      </c>
      <c r="C31" s="5"/>
      <c r="D31" s="5"/>
      <c r="E31" s="5"/>
      <c r="F31" s="5"/>
      <c r="G31" s="5"/>
      <c r="H31" s="5"/>
      <c r="I31" s="5"/>
    </row>
    <row r="32" spans="1:9" ht="12.9" customHeight="1">
      <c r="A32" s="5"/>
      <c r="B32" s="4" t="s">
        <v>99</v>
      </c>
      <c r="C32" s="5"/>
      <c r="D32" s="5"/>
      <c r="E32" s="5"/>
      <c r="F32" s="5"/>
      <c r="G32" s="5"/>
      <c r="H32" s="5"/>
      <c r="I32" s="5"/>
    </row>
    <row r="33" spans="1:9" ht="26.1" customHeight="1">
      <c r="A33" s="5"/>
      <c r="B33" s="50" t="s">
        <v>100</v>
      </c>
      <c r="C33" s="50"/>
      <c r="D33" s="50"/>
      <c r="E33" s="50"/>
      <c r="F33" s="50"/>
      <c r="G33" s="50"/>
      <c r="H33" s="50"/>
      <c r="I33" s="50"/>
    </row>
    <row r="34" spans="1:9" ht="12.9" customHeight="1">
      <c r="A34" s="5"/>
      <c r="B34" s="50" t="s">
        <v>101</v>
      </c>
      <c r="C34" s="50"/>
      <c r="D34" s="50"/>
      <c r="E34" s="50"/>
      <c r="F34" s="50"/>
      <c r="G34" s="50"/>
      <c r="H34" s="50"/>
      <c r="I34" s="50"/>
    </row>
    <row r="35" spans="1:9" ht="12.9" customHeight="1">
      <c r="A35" s="5"/>
      <c r="B35" s="50" t="s">
        <v>2449</v>
      </c>
      <c r="C35" s="50"/>
      <c r="D35" s="50"/>
      <c r="E35" s="50"/>
      <c r="F35" s="50"/>
      <c r="G35" s="5"/>
      <c r="H35" s="5"/>
      <c r="I35" s="5"/>
    </row>
    <row r="36" spans="1:9" ht="12.9" customHeight="1">
      <c r="A36" s="5"/>
      <c r="B36" s="50"/>
      <c r="C36" s="50"/>
      <c r="D36" s="50"/>
      <c r="E36" s="50"/>
      <c r="F36" s="50"/>
      <c r="G36" s="50"/>
      <c r="H36" s="50"/>
      <c r="I36" s="50"/>
    </row>
    <row r="37" spans="1:9" ht="12.9" customHeight="1">
      <c r="A37" s="5"/>
      <c r="B37" s="50"/>
      <c r="C37" s="50"/>
      <c r="D37" s="50"/>
      <c r="E37" s="50"/>
      <c r="F37" s="50"/>
      <c r="G37" s="50"/>
      <c r="H37" s="50"/>
      <c r="I37" s="50"/>
    </row>
    <row r="38" spans="1:9" ht="12.9" customHeight="1">
      <c r="A38" s="5"/>
      <c r="B38" s="5"/>
      <c r="C38" s="51" t="s">
        <v>2450</v>
      </c>
      <c r="D38" s="51"/>
      <c r="E38" s="51"/>
      <c r="F38" s="51"/>
      <c r="G38" s="5"/>
      <c r="H38" s="5"/>
      <c r="I38" s="5"/>
    </row>
    <row r="39" spans="1:9" ht="12.9" customHeight="1">
      <c r="A39" s="5"/>
      <c r="B39" s="38" t="s">
        <v>103</v>
      </c>
      <c r="C39" s="51" t="s">
        <v>104</v>
      </c>
      <c r="D39" s="51"/>
      <c r="E39" s="51"/>
      <c r="F39" s="51"/>
      <c r="G39" s="5"/>
      <c r="H39" s="5"/>
      <c r="I39" s="5"/>
    </row>
    <row r="40" spans="1:9" ht="135" customHeight="1">
      <c r="A40" s="5"/>
      <c r="B40" s="39"/>
      <c r="C40" s="52"/>
      <c r="D40" s="52"/>
      <c r="E40" s="5"/>
      <c r="F40" s="5"/>
      <c r="G40" s="5"/>
      <c r="H40" s="5"/>
      <c r="I40" s="5"/>
    </row>
  </sheetData>
  <mergeCells count="8">
    <mergeCell ref="C38:F38"/>
    <mergeCell ref="C39:F39"/>
    <mergeCell ref="C40:D40"/>
    <mergeCell ref="B33:I33"/>
    <mergeCell ref="B34:I34"/>
    <mergeCell ref="B35:F35"/>
    <mergeCell ref="B36:I36"/>
    <mergeCell ref="B37:I37"/>
  </mergeCells>
  <hyperlinks>
    <hyperlink ref="A1" location="AxisCRISILIBXAAABondNBFCHFCJun2027IndexFund" display="AXISNHS" xr:uid="{00000000-0004-0000-3900-000000000000}"/>
    <hyperlink ref="B1" location="AxisCRISILIBXAAABondNBFCHFCJun2027IndexFund" display="Axis CRISIL-IBX AAA Bond NBFC-HFC - Jun 2027 Index Fund" xr:uid="{00000000-0004-0000-3900-000001000000}"/>
  </hyperlinks>
  <pageMargins left="0" right="0" top="0" bottom="0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/>
  </sheetPr>
  <dimension ref="A1:I36"/>
  <sheetViews>
    <sheetView workbookViewId="0">
      <selection activeCell="B31" sqref="B31:I31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51</v>
      </c>
      <c r="B1" s="4" t="s">
        <v>52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311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312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2091</v>
      </c>
      <c r="B7" s="18" t="s">
        <v>2092</v>
      </c>
      <c r="C7" s="14" t="s">
        <v>2093</v>
      </c>
      <c r="D7" s="14" t="s">
        <v>84</v>
      </c>
      <c r="E7" s="19">
        <v>11500000</v>
      </c>
      <c r="F7" s="20">
        <v>11473.596</v>
      </c>
      <c r="G7" s="21">
        <v>1.2E-2</v>
      </c>
      <c r="H7" s="22">
        <v>5.2499999999999998E-2</v>
      </c>
      <c r="I7" s="23"/>
    </row>
    <row r="8" spans="1:9" ht="12.9" customHeight="1">
      <c r="A8" s="17" t="s">
        <v>2420</v>
      </c>
      <c r="B8" s="18" t="s">
        <v>2421</v>
      </c>
      <c r="C8" s="14" t="s">
        <v>2422</v>
      </c>
      <c r="D8" s="14" t="s">
        <v>84</v>
      </c>
      <c r="E8" s="19">
        <v>10000000</v>
      </c>
      <c r="F8" s="20">
        <v>9967.0300000000007</v>
      </c>
      <c r="G8" s="21">
        <v>1.04E-2</v>
      </c>
      <c r="H8" s="22">
        <v>5.2499999999999998E-2</v>
      </c>
      <c r="I8" s="23"/>
    </row>
    <row r="9" spans="1:9" ht="12.9" customHeight="1">
      <c r="A9" s="17" t="s">
        <v>2085</v>
      </c>
      <c r="B9" s="18" t="s">
        <v>2086</v>
      </c>
      <c r="C9" s="14" t="s">
        <v>2087</v>
      </c>
      <c r="D9" s="14" t="s">
        <v>84</v>
      </c>
      <c r="E9" s="19">
        <v>7500000</v>
      </c>
      <c r="F9" s="20">
        <v>7497.8024999999998</v>
      </c>
      <c r="G9" s="21">
        <v>7.7999999999999996E-3</v>
      </c>
      <c r="H9" s="22">
        <v>5.3499999999999999E-2</v>
      </c>
      <c r="I9" s="23"/>
    </row>
    <row r="10" spans="1:9" ht="12.9" customHeight="1">
      <c r="A10" s="17" t="s">
        <v>2451</v>
      </c>
      <c r="B10" s="18" t="s">
        <v>2452</v>
      </c>
      <c r="C10" s="14" t="s">
        <v>2453</v>
      </c>
      <c r="D10" s="14" t="s">
        <v>84</v>
      </c>
      <c r="E10" s="19">
        <v>5000000</v>
      </c>
      <c r="F10" s="20">
        <v>4992.6499999999996</v>
      </c>
      <c r="G10" s="21">
        <v>5.1999999999999998E-3</v>
      </c>
      <c r="H10" s="22">
        <v>5.3752000000000001E-2</v>
      </c>
      <c r="I10" s="23"/>
    </row>
    <row r="11" spans="1:9" ht="12.9" customHeight="1">
      <c r="A11" s="17" t="s">
        <v>2454</v>
      </c>
      <c r="B11" s="18" t="s">
        <v>2455</v>
      </c>
      <c r="C11" s="14" t="s">
        <v>2456</v>
      </c>
      <c r="D11" s="14" t="s">
        <v>84</v>
      </c>
      <c r="E11" s="19">
        <v>3500000</v>
      </c>
      <c r="F11" s="20">
        <v>3498.9744999999998</v>
      </c>
      <c r="G11" s="21">
        <v>3.5999999999999999E-3</v>
      </c>
      <c r="H11" s="22">
        <v>5.3499999999999999E-2</v>
      </c>
      <c r="I11" s="23"/>
    </row>
    <row r="12" spans="1:9" ht="12.9" customHeight="1">
      <c r="A12" s="5"/>
      <c r="B12" s="13" t="s">
        <v>88</v>
      </c>
      <c r="C12" s="14"/>
      <c r="D12" s="14"/>
      <c r="E12" s="14"/>
      <c r="F12" s="24">
        <v>37430.053</v>
      </c>
      <c r="G12" s="25">
        <v>3.9E-2</v>
      </c>
      <c r="H12" s="26"/>
      <c r="I12" s="27"/>
    </row>
    <row r="13" spans="1:9" ht="12.9" customHeight="1">
      <c r="A13" s="5"/>
      <c r="B13" s="28" t="s">
        <v>91</v>
      </c>
      <c r="C13" s="29"/>
      <c r="D13" s="2"/>
      <c r="E13" s="29"/>
      <c r="F13" s="24">
        <v>37430.053</v>
      </c>
      <c r="G13" s="25">
        <v>3.9E-2</v>
      </c>
      <c r="H13" s="26"/>
      <c r="I13" s="27"/>
    </row>
    <row r="14" spans="1:9" ht="12.9" customHeight="1">
      <c r="A14" s="5"/>
      <c r="B14" s="13" t="s">
        <v>92</v>
      </c>
      <c r="C14" s="14"/>
      <c r="D14" s="14"/>
      <c r="E14" s="14"/>
      <c r="F14" s="14"/>
      <c r="G14" s="14"/>
      <c r="H14" s="15"/>
      <c r="I14" s="16"/>
    </row>
    <row r="15" spans="1:9" ht="12.9" customHeight="1">
      <c r="A15" s="17" t="s">
        <v>2095</v>
      </c>
      <c r="B15" s="18" t="s">
        <v>94</v>
      </c>
      <c r="C15" s="14"/>
      <c r="D15" s="14"/>
      <c r="E15" s="19"/>
      <c r="F15" s="20">
        <v>423712.74890000001</v>
      </c>
      <c r="G15" s="21">
        <v>0.44169999999999998</v>
      </c>
      <c r="H15" s="22">
        <v>5.1999999999999998E-2</v>
      </c>
      <c r="I15" s="23"/>
    </row>
    <row r="16" spans="1:9" ht="12.9" customHeight="1">
      <c r="A16" s="17" t="s">
        <v>2457</v>
      </c>
      <c r="B16" s="18" t="s">
        <v>94</v>
      </c>
      <c r="C16" s="14"/>
      <c r="D16" s="14"/>
      <c r="E16" s="19"/>
      <c r="F16" s="20">
        <v>299998.34250000003</v>
      </c>
      <c r="G16" s="21">
        <v>0.31280000000000002</v>
      </c>
      <c r="H16" s="22">
        <v>5.1499999999999997E-2</v>
      </c>
      <c r="I16" s="23"/>
    </row>
    <row r="17" spans="1:9" ht="12.9" customHeight="1">
      <c r="A17" s="17" t="s">
        <v>2458</v>
      </c>
      <c r="B17" s="18" t="s">
        <v>94</v>
      </c>
      <c r="C17" s="14"/>
      <c r="D17" s="14"/>
      <c r="E17" s="19"/>
      <c r="F17" s="20">
        <v>88998.955000000002</v>
      </c>
      <c r="G17" s="21">
        <v>9.2799999999999994E-2</v>
      </c>
      <c r="H17" s="22">
        <v>5.2999999999999999E-2</v>
      </c>
      <c r="I17" s="23"/>
    </row>
    <row r="18" spans="1:9" ht="12.9" customHeight="1">
      <c r="A18" s="17" t="s">
        <v>2459</v>
      </c>
      <c r="B18" s="18" t="s">
        <v>94</v>
      </c>
      <c r="C18" s="14"/>
      <c r="D18" s="14"/>
      <c r="E18" s="19"/>
      <c r="F18" s="20">
        <v>32199.701400000002</v>
      </c>
      <c r="G18" s="21">
        <v>3.3599999999999998E-2</v>
      </c>
      <c r="H18" s="22">
        <v>5.2600000000000001E-2</v>
      </c>
      <c r="I18" s="23"/>
    </row>
    <row r="19" spans="1:9" ht="12.9" customHeight="1">
      <c r="A19" s="17" t="s">
        <v>2460</v>
      </c>
      <c r="B19" s="18" t="s">
        <v>94</v>
      </c>
      <c r="C19" s="14"/>
      <c r="D19" s="14"/>
      <c r="E19" s="19"/>
      <c r="F19" s="20">
        <v>27851.4604</v>
      </c>
      <c r="G19" s="21">
        <v>2.9000000000000001E-2</v>
      </c>
      <c r="H19" s="22">
        <v>5.28E-2</v>
      </c>
      <c r="I19" s="23"/>
    </row>
    <row r="20" spans="1:9" ht="12.9" customHeight="1">
      <c r="A20" s="17" t="s">
        <v>2461</v>
      </c>
      <c r="B20" s="18" t="s">
        <v>94</v>
      </c>
      <c r="C20" s="14"/>
      <c r="D20" s="14"/>
      <c r="E20" s="19"/>
      <c r="F20" s="20">
        <v>26999.889599999999</v>
      </c>
      <c r="G20" s="21">
        <v>2.81E-2</v>
      </c>
      <c r="H20" s="22">
        <v>5.2499999999999998E-2</v>
      </c>
      <c r="I20" s="23"/>
    </row>
    <row r="21" spans="1:9" ht="12.9" customHeight="1">
      <c r="A21" s="17" t="s">
        <v>2462</v>
      </c>
      <c r="B21" s="18" t="s">
        <v>94</v>
      </c>
      <c r="C21" s="14"/>
      <c r="D21" s="14"/>
      <c r="E21" s="19"/>
      <c r="F21" s="20">
        <v>22684.1767</v>
      </c>
      <c r="G21" s="21">
        <v>2.3599999999999999E-2</v>
      </c>
      <c r="H21" s="22">
        <v>5.2400000000000002E-2</v>
      </c>
      <c r="I21" s="23"/>
    </row>
    <row r="22" spans="1:9" ht="12.9" customHeight="1">
      <c r="A22" s="17" t="s">
        <v>93</v>
      </c>
      <c r="B22" s="18" t="s">
        <v>94</v>
      </c>
      <c r="C22" s="14"/>
      <c r="D22" s="14"/>
      <c r="E22" s="19"/>
      <c r="F22" s="20">
        <v>7133.16</v>
      </c>
      <c r="G22" s="21">
        <v>7.4000000000000003E-3</v>
      </c>
      <c r="H22" s="22">
        <v>5.0765165656502416E-2</v>
      </c>
      <c r="I22" s="23"/>
    </row>
    <row r="23" spans="1:9" ht="12.9" customHeight="1">
      <c r="A23" s="5"/>
      <c r="B23" s="13" t="s">
        <v>88</v>
      </c>
      <c r="C23" s="14"/>
      <c r="D23" s="14"/>
      <c r="E23" s="14"/>
      <c r="F23" s="24">
        <v>929578.43449999997</v>
      </c>
      <c r="G23" s="25">
        <v>0.96909999999999996</v>
      </c>
      <c r="H23" s="26"/>
      <c r="I23" s="27"/>
    </row>
    <row r="24" spans="1:9" ht="12.9" customHeight="1">
      <c r="A24" s="5"/>
      <c r="B24" s="28" t="s">
        <v>91</v>
      </c>
      <c r="C24" s="29"/>
      <c r="D24" s="2"/>
      <c r="E24" s="29"/>
      <c r="F24" s="24">
        <v>929578.43449999997</v>
      </c>
      <c r="G24" s="25">
        <v>0.96909999999999996</v>
      </c>
      <c r="H24" s="26"/>
      <c r="I24" s="27"/>
    </row>
    <row r="25" spans="1:9" ht="12.9" customHeight="1">
      <c r="A25" s="5"/>
      <c r="B25" s="28" t="s">
        <v>96</v>
      </c>
      <c r="C25" s="14"/>
      <c r="D25" s="2"/>
      <c r="E25" s="14"/>
      <c r="F25" s="31">
        <v>-7799.8275000000003</v>
      </c>
      <c r="G25" s="25">
        <v>-8.0999999999999996E-3</v>
      </c>
      <c r="H25" s="26"/>
      <c r="I25" s="27"/>
    </row>
    <row r="26" spans="1:9" ht="12.9" customHeight="1">
      <c r="A26" s="5"/>
      <c r="B26" s="32" t="s">
        <v>97</v>
      </c>
      <c r="C26" s="33"/>
      <c r="D26" s="33"/>
      <c r="E26" s="33"/>
      <c r="F26" s="34">
        <v>959208.66</v>
      </c>
      <c r="G26" s="35">
        <v>1</v>
      </c>
      <c r="H26" s="36"/>
      <c r="I26" s="37"/>
    </row>
    <row r="27" spans="1:9" ht="12.9" customHeight="1">
      <c r="A27" s="5"/>
      <c r="B27" s="7"/>
      <c r="C27" s="5"/>
      <c r="D27" s="5"/>
      <c r="E27" s="5"/>
      <c r="F27" s="5"/>
      <c r="G27" s="5"/>
      <c r="H27" s="5"/>
      <c r="I27" s="5"/>
    </row>
    <row r="28" spans="1:9" ht="12.9" customHeight="1">
      <c r="A28" s="5"/>
      <c r="B28" s="4" t="s">
        <v>99</v>
      </c>
      <c r="C28" s="5"/>
      <c r="D28" s="5"/>
      <c r="E28" s="5"/>
      <c r="F28" s="5"/>
      <c r="G28" s="5"/>
      <c r="H28" s="5"/>
      <c r="I28" s="5"/>
    </row>
    <row r="29" spans="1:9" ht="26.1" customHeight="1">
      <c r="A29" s="5"/>
      <c r="B29" s="50" t="s">
        <v>100</v>
      </c>
      <c r="C29" s="50"/>
      <c r="D29" s="50"/>
      <c r="E29" s="50"/>
      <c r="F29" s="50"/>
      <c r="G29" s="50"/>
      <c r="H29" s="50"/>
      <c r="I29" s="50"/>
    </row>
    <row r="30" spans="1:9" ht="12.9" customHeight="1">
      <c r="A30" s="5"/>
      <c r="B30" s="50" t="s">
        <v>101</v>
      </c>
      <c r="C30" s="50"/>
      <c r="D30" s="50"/>
      <c r="E30" s="50"/>
      <c r="F30" s="50"/>
      <c r="G30" s="50"/>
      <c r="H30" s="50"/>
      <c r="I30" s="50"/>
    </row>
    <row r="31" spans="1:9" ht="12.9" customHeight="1">
      <c r="A31" s="5"/>
      <c r="B31" s="50"/>
      <c r="C31" s="50"/>
      <c r="D31" s="50"/>
      <c r="E31" s="50"/>
      <c r="F31" s="50"/>
      <c r="G31" s="50"/>
      <c r="H31" s="50"/>
      <c r="I31" s="50"/>
    </row>
    <row r="32" spans="1:9" ht="12.9" customHeight="1">
      <c r="A32" s="5"/>
      <c r="B32" s="53" t="s">
        <v>2463</v>
      </c>
      <c r="C32" s="53"/>
      <c r="D32" s="53"/>
      <c r="E32" s="53"/>
      <c r="F32" s="5"/>
      <c r="G32" s="5"/>
      <c r="H32" s="5"/>
      <c r="I32" s="5"/>
    </row>
    <row r="33" spans="1:9" ht="12.9" customHeight="1">
      <c r="A33" s="5"/>
      <c r="B33" s="50"/>
      <c r="C33" s="50"/>
      <c r="D33" s="50"/>
      <c r="E33" s="50"/>
      <c r="F33" s="50"/>
      <c r="G33" s="50"/>
      <c r="H33" s="50"/>
      <c r="I33" s="50"/>
    </row>
    <row r="34" spans="1:9" ht="12.9" customHeight="1">
      <c r="A34" s="5"/>
      <c r="B34" s="5"/>
      <c r="C34" s="51" t="s">
        <v>2464</v>
      </c>
      <c r="D34" s="51"/>
      <c r="E34" s="51"/>
      <c r="F34" s="51"/>
      <c r="G34" s="5"/>
      <c r="H34" s="5"/>
      <c r="I34" s="5"/>
    </row>
    <row r="35" spans="1:9" ht="12.9" customHeight="1">
      <c r="A35" s="5"/>
      <c r="B35" s="38" t="s">
        <v>103</v>
      </c>
      <c r="C35" s="51" t="s">
        <v>104</v>
      </c>
      <c r="D35" s="51"/>
      <c r="E35" s="51"/>
      <c r="F35" s="51"/>
      <c r="G35" s="5"/>
      <c r="H35" s="5"/>
      <c r="I35" s="5"/>
    </row>
    <row r="36" spans="1:9" ht="135" customHeight="1">
      <c r="A36" s="5"/>
      <c r="B36" s="39"/>
      <c r="C36" s="52"/>
      <c r="D36" s="52"/>
      <c r="E36" s="5"/>
      <c r="F36" s="5"/>
      <c r="G36" s="5"/>
      <c r="H36" s="5"/>
      <c r="I36" s="5"/>
    </row>
  </sheetData>
  <mergeCells count="8">
    <mergeCell ref="C34:F34"/>
    <mergeCell ref="C35:F35"/>
    <mergeCell ref="C36:D36"/>
    <mergeCell ref="B29:I29"/>
    <mergeCell ref="B30:I30"/>
    <mergeCell ref="B31:I31"/>
    <mergeCell ref="B32:E32"/>
    <mergeCell ref="B33:I33"/>
  </mergeCells>
  <hyperlinks>
    <hyperlink ref="A1" location="AxisOvernightFund" display="AXISONF" xr:uid="{00000000-0004-0000-4000-000000000000}"/>
    <hyperlink ref="B1" location="AxisOvernightFund" display="Axis Overnight Fund" xr:uid="{00000000-0004-0000-4000-000001000000}"/>
  </hyperlinks>
  <pageMargins left="0" right="0" top="0" bottom="0" header="0" footer="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/>
  </sheetPr>
  <dimension ref="A1:I68"/>
  <sheetViews>
    <sheetView workbookViewId="0">
      <selection activeCell="C42" sqref="C42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53</v>
      </c>
      <c r="B1" s="4" t="s">
        <v>54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147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148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149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154</v>
      </c>
      <c r="B7" s="18" t="s">
        <v>155</v>
      </c>
      <c r="C7" s="14" t="s">
        <v>156</v>
      </c>
      <c r="D7" s="14" t="s">
        <v>157</v>
      </c>
      <c r="E7" s="19">
        <v>16918</v>
      </c>
      <c r="F7" s="20">
        <v>263.27789999999999</v>
      </c>
      <c r="G7" s="21">
        <v>4.9099999999999998E-2</v>
      </c>
      <c r="H7" s="30"/>
      <c r="I7" s="23"/>
    </row>
    <row r="8" spans="1:9" ht="12.9" customHeight="1">
      <c r="A8" s="17" t="s">
        <v>173</v>
      </c>
      <c r="B8" s="18" t="s">
        <v>174</v>
      </c>
      <c r="C8" s="14" t="s">
        <v>175</v>
      </c>
      <c r="D8" s="14" t="s">
        <v>153</v>
      </c>
      <c r="E8" s="19">
        <v>18381</v>
      </c>
      <c r="F8" s="20">
        <v>177.7902</v>
      </c>
      <c r="G8" s="21">
        <v>3.32E-2</v>
      </c>
      <c r="H8" s="30"/>
      <c r="I8" s="23"/>
    </row>
    <row r="9" spans="1:9" ht="12.9" customHeight="1">
      <c r="A9" s="17" t="s">
        <v>161</v>
      </c>
      <c r="B9" s="18" t="s">
        <v>162</v>
      </c>
      <c r="C9" s="14" t="s">
        <v>163</v>
      </c>
      <c r="D9" s="14" t="s">
        <v>164</v>
      </c>
      <c r="E9" s="19">
        <v>9565</v>
      </c>
      <c r="F9" s="20">
        <v>153.69040000000001</v>
      </c>
      <c r="G9" s="21">
        <v>2.87E-2</v>
      </c>
      <c r="H9" s="30"/>
      <c r="I9" s="23"/>
    </row>
    <row r="10" spans="1:9" ht="12.9" customHeight="1">
      <c r="A10" s="17" t="s">
        <v>150</v>
      </c>
      <c r="B10" s="18" t="s">
        <v>151</v>
      </c>
      <c r="C10" s="14" t="s">
        <v>152</v>
      </c>
      <c r="D10" s="14" t="s">
        <v>153</v>
      </c>
      <c r="E10" s="19">
        <v>12296</v>
      </c>
      <c r="F10" s="20">
        <v>122.48050000000001</v>
      </c>
      <c r="G10" s="21">
        <v>2.29E-2</v>
      </c>
      <c r="H10" s="30"/>
      <c r="I10" s="23"/>
    </row>
    <row r="11" spans="1:9" ht="12.9" customHeight="1">
      <c r="A11" s="17" t="s">
        <v>165</v>
      </c>
      <c r="B11" s="18" t="s">
        <v>166</v>
      </c>
      <c r="C11" s="14" t="s">
        <v>167</v>
      </c>
      <c r="D11" s="14" t="s">
        <v>168</v>
      </c>
      <c r="E11" s="19">
        <v>5836</v>
      </c>
      <c r="F11" s="20">
        <v>120.7877</v>
      </c>
      <c r="G11" s="21">
        <v>2.2499999999999999E-2</v>
      </c>
      <c r="H11" s="30"/>
      <c r="I11" s="23"/>
    </row>
    <row r="12" spans="1:9" ht="12.9" customHeight="1">
      <c r="A12" s="17" t="s">
        <v>237</v>
      </c>
      <c r="B12" s="18" t="s">
        <v>238</v>
      </c>
      <c r="C12" s="14" t="s">
        <v>239</v>
      </c>
      <c r="D12" s="14" t="s">
        <v>230</v>
      </c>
      <c r="E12" s="19">
        <v>1434</v>
      </c>
      <c r="F12" s="20">
        <v>101.6204</v>
      </c>
      <c r="G12" s="21">
        <v>1.9E-2</v>
      </c>
      <c r="H12" s="30"/>
      <c r="I12" s="23"/>
    </row>
    <row r="13" spans="1:9" ht="12.9" customHeight="1">
      <c r="A13" s="17" t="s">
        <v>176</v>
      </c>
      <c r="B13" s="18" t="s">
        <v>177</v>
      </c>
      <c r="C13" s="14" t="s">
        <v>178</v>
      </c>
      <c r="D13" s="14" t="s">
        <v>179</v>
      </c>
      <c r="E13" s="19">
        <v>22681</v>
      </c>
      <c r="F13" s="20">
        <v>91.245699999999999</v>
      </c>
      <c r="G13" s="21">
        <v>1.7000000000000001E-2</v>
      </c>
      <c r="H13" s="30"/>
      <c r="I13" s="23"/>
    </row>
    <row r="14" spans="1:9" ht="12.9" customHeight="1">
      <c r="A14" s="17" t="s">
        <v>169</v>
      </c>
      <c r="B14" s="18" t="s">
        <v>170</v>
      </c>
      <c r="C14" s="14" t="s">
        <v>171</v>
      </c>
      <c r="D14" s="14" t="s">
        <v>172</v>
      </c>
      <c r="E14" s="19">
        <v>2193</v>
      </c>
      <c r="F14" s="20">
        <v>89.744100000000003</v>
      </c>
      <c r="G14" s="21">
        <v>1.67E-2</v>
      </c>
      <c r="H14" s="30"/>
      <c r="I14" s="23"/>
    </row>
    <row r="15" spans="1:9" ht="12.9" customHeight="1">
      <c r="A15" s="17" t="s">
        <v>273</v>
      </c>
      <c r="B15" s="18" t="s">
        <v>274</v>
      </c>
      <c r="C15" s="14" t="s">
        <v>275</v>
      </c>
      <c r="D15" s="14" t="s">
        <v>216</v>
      </c>
      <c r="E15" s="19">
        <v>9861</v>
      </c>
      <c r="F15" s="20">
        <v>84.498900000000006</v>
      </c>
      <c r="G15" s="21">
        <v>1.5800000000000002E-2</v>
      </c>
      <c r="H15" s="30"/>
      <c r="I15" s="23"/>
    </row>
    <row r="16" spans="1:9" ht="12.9" customHeight="1">
      <c r="A16" s="17" t="s">
        <v>201</v>
      </c>
      <c r="B16" s="18" t="s">
        <v>202</v>
      </c>
      <c r="C16" s="14" t="s">
        <v>203</v>
      </c>
      <c r="D16" s="14" t="s">
        <v>164</v>
      </c>
      <c r="E16" s="19">
        <v>4986</v>
      </c>
      <c r="F16" s="20">
        <v>83.964200000000005</v>
      </c>
      <c r="G16" s="21">
        <v>1.5699999999999999E-2</v>
      </c>
      <c r="H16" s="30"/>
      <c r="I16" s="23"/>
    </row>
    <row r="17" spans="1:9" ht="12.9" customHeight="1">
      <c r="A17" s="17" t="s">
        <v>158</v>
      </c>
      <c r="B17" s="18" t="s">
        <v>159</v>
      </c>
      <c r="C17" s="14" t="s">
        <v>160</v>
      </c>
      <c r="D17" s="14" t="s">
        <v>153</v>
      </c>
      <c r="E17" s="19">
        <v>5993</v>
      </c>
      <c r="F17" s="20">
        <v>81.816400000000002</v>
      </c>
      <c r="G17" s="21">
        <v>1.5299999999999999E-2</v>
      </c>
      <c r="H17" s="30"/>
      <c r="I17" s="23"/>
    </row>
    <row r="18" spans="1:9" ht="12.9" customHeight="1">
      <c r="A18" s="17" t="s">
        <v>883</v>
      </c>
      <c r="B18" s="18" t="s">
        <v>884</v>
      </c>
      <c r="C18" s="14" t="s">
        <v>885</v>
      </c>
      <c r="D18" s="14" t="s">
        <v>212</v>
      </c>
      <c r="E18" s="19">
        <v>66005</v>
      </c>
      <c r="F18" s="20">
        <v>77.9255</v>
      </c>
      <c r="G18" s="21">
        <v>1.4500000000000001E-2</v>
      </c>
      <c r="H18" s="30"/>
      <c r="I18" s="23"/>
    </row>
    <row r="19" spans="1:9" ht="12.9" customHeight="1">
      <c r="A19" s="17" t="s">
        <v>231</v>
      </c>
      <c r="B19" s="18" t="s">
        <v>232</v>
      </c>
      <c r="C19" s="14" t="s">
        <v>233</v>
      </c>
      <c r="D19" s="14" t="s">
        <v>189</v>
      </c>
      <c r="E19" s="19">
        <v>1283</v>
      </c>
      <c r="F19" s="20">
        <v>76.460400000000007</v>
      </c>
      <c r="G19" s="21">
        <v>1.43E-2</v>
      </c>
      <c r="H19" s="30"/>
      <c r="I19" s="23"/>
    </row>
    <row r="20" spans="1:9" ht="12.9" customHeight="1">
      <c r="A20" s="17" t="s">
        <v>186</v>
      </c>
      <c r="B20" s="18" t="s">
        <v>187</v>
      </c>
      <c r="C20" s="14" t="s">
        <v>188</v>
      </c>
      <c r="D20" s="14" t="s">
        <v>189</v>
      </c>
      <c r="E20" s="19">
        <v>2003</v>
      </c>
      <c r="F20" s="20">
        <v>72.268199999999993</v>
      </c>
      <c r="G20" s="21">
        <v>1.35E-2</v>
      </c>
      <c r="H20" s="30"/>
      <c r="I20" s="23"/>
    </row>
    <row r="21" spans="1:9" ht="12.9" customHeight="1">
      <c r="A21" s="17" t="s">
        <v>255</v>
      </c>
      <c r="B21" s="18" t="s">
        <v>256</v>
      </c>
      <c r="C21" s="14" t="s">
        <v>257</v>
      </c>
      <c r="D21" s="14" t="s">
        <v>153</v>
      </c>
      <c r="E21" s="19">
        <v>19107</v>
      </c>
      <c r="F21" s="20">
        <v>54.4741</v>
      </c>
      <c r="G21" s="21">
        <v>1.0200000000000001E-2</v>
      </c>
      <c r="H21" s="30"/>
      <c r="I21" s="23"/>
    </row>
    <row r="22" spans="1:9" ht="12.9" customHeight="1">
      <c r="A22" s="17" t="s">
        <v>208</v>
      </c>
      <c r="B22" s="18" t="s">
        <v>209</v>
      </c>
      <c r="C22" s="14" t="s">
        <v>210</v>
      </c>
      <c r="D22" s="14" t="s">
        <v>211</v>
      </c>
      <c r="E22" s="19">
        <v>14662</v>
      </c>
      <c r="F22" s="20">
        <v>47.497500000000002</v>
      </c>
      <c r="G22" s="21">
        <v>8.8999999999999999E-3</v>
      </c>
      <c r="H22" s="30"/>
      <c r="I22" s="23"/>
    </row>
    <row r="23" spans="1:9" ht="12.9" customHeight="1">
      <c r="A23" s="17" t="s">
        <v>197</v>
      </c>
      <c r="B23" s="18" t="s">
        <v>198</v>
      </c>
      <c r="C23" s="14" t="s">
        <v>199</v>
      </c>
      <c r="D23" s="14" t="s">
        <v>200</v>
      </c>
      <c r="E23" s="19">
        <v>2606</v>
      </c>
      <c r="F23" s="20">
        <v>46.8324</v>
      </c>
      <c r="G23" s="21">
        <v>8.6999999999999994E-3</v>
      </c>
      <c r="H23" s="30"/>
      <c r="I23" s="23"/>
    </row>
    <row r="24" spans="1:9" ht="12.9" customHeight="1">
      <c r="A24" s="17" t="s">
        <v>246</v>
      </c>
      <c r="B24" s="18" t="s">
        <v>247</v>
      </c>
      <c r="C24" s="14" t="s">
        <v>248</v>
      </c>
      <c r="D24" s="14" t="s">
        <v>249</v>
      </c>
      <c r="E24" s="19">
        <v>9750</v>
      </c>
      <c r="F24" s="20">
        <v>46.566000000000003</v>
      </c>
      <c r="G24" s="21">
        <v>8.6999999999999994E-3</v>
      </c>
      <c r="H24" s="30"/>
      <c r="I24" s="23"/>
    </row>
    <row r="25" spans="1:9" ht="12.9" customHeight="1">
      <c r="A25" s="17" t="s">
        <v>183</v>
      </c>
      <c r="B25" s="18" t="s">
        <v>184</v>
      </c>
      <c r="C25" s="14" t="s">
        <v>185</v>
      </c>
      <c r="D25" s="14" t="s">
        <v>153</v>
      </c>
      <c r="E25" s="19">
        <v>1995</v>
      </c>
      <c r="F25" s="20">
        <v>43.5169</v>
      </c>
      <c r="G25" s="21">
        <v>8.0999999999999996E-3</v>
      </c>
      <c r="H25" s="30"/>
      <c r="I25" s="23"/>
    </row>
    <row r="26" spans="1:9" ht="12.9" customHeight="1">
      <c r="A26" s="17" t="s">
        <v>221</v>
      </c>
      <c r="B26" s="18" t="s">
        <v>222</v>
      </c>
      <c r="C26" s="14" t="s">
        <v>223</v>
      </c>
      <c r="D26" s="14" t="s">
        <v>200</v>
      </c>
      <c r="E26" s="19">
        <v>2837</v>
      </c>
      <c r="F26" s="20">
        <v>42.781999999999996</v>
      </c>
      <c r="G26" s="21">
        <v>8.0000000000000002E-3</v>
      </c>
      <c r="H26" s="30"/>
      <c r="I26" s="23"/>
    </row>
    <row r="27" spans="1:9" ht="12.9" customHeight="1">
      <c r="A27" s="17" t="s">
        <v>279</v>
      </c>
      <c r="B27" s="18" t="s">
        <v>280</v>
      </c>
      <c r="C27" s="14" t="s">
        <v>281</v>
      </c>
      <c r="D27" s="14" t="s">
        <v>200</v>
      </c>
      <c r="E27" s="19">
        <v>2375</v>
      </c>
      <c r="F27" s="20">
        <v>42.564799999999998</v>
      </c>
      <c r="G27" s="21">
        <v>7.9000000000000008E-3</v>
      </c>
      <c r="H27" s="30"/>
      <c r="I27" s="23"/>
    </row>
    <row r="28" spans="1:9" ht="12.9" customHeight="1">
      <c r="A28" s="17" t="s">
        <v>240</v>
      </c>
      <c r="B28" s="18" t="s">
        <v>241</v>
      </c>
      <c r="C28" s="14" t="s">
        <v>242</v>
      </c>
      <c r="D28" s="14" t="s">
        <v>220</v>
      </c>
      <c r="E28" s="19">
        <v>608</v>
      </c>
      <c r="F28" s="20">
        <v>36.710999999999999</v>
      </c>
      <c r="G28" s="21">
        <v>6.8999999999999999E-3</v>
      </c>
      <c r="H28" s="30"/>
      <c r="I28" s="23"/>
    </row>
    <row r="29" spans="1:9" ht="12.9" customHeight="1">
      <c r="A29" s="17" t="s">
        <v>267</v>
      </c>
      <c r="B29" s="18" t="s">
        <v>268</v>
      </c>
      <c r="C29" s="14" t="s">
        <v>269</v>
      </c>
      <c r="D29" s="14" t="s">
        <v>200</v>
      </c>
      <c r="E29" s="19">
        <v>1688</v>
      </c>
      <c r="F29" s="20">
        <v>36.143500000000003</v>
      </c>
      <c r="G29" s="21">
        <v>6.7000000000000002E-3</v>
      </c>
      <c r="H29" s="30"/>
      <c r="I29" s="23"/>
    </row>
    <row r="30" spans="1:9" ht="12.9" customHeight="1">
      <c r="A30" s="17" t="s">
        <v>213</v>
      </c>
      <c r="B30" s="18" t="s">
        <v>214</v>
      </c>
      <c r="C30" s="14" t="s">
        <v>215</v>
      </c>
      <c r="D30" s="14" t="s">
        <v>164</v>
      </c>
      <c r="E30" s="19">
        <v>2177</v>
      </c>
      <c r="F30" s="20">
        <v>34.296500000000002</v>
      </c>
      <c r="G30" s="21">
        <v>6.4000000000000003E-3</v>
      </c>
      <c r="H30" s="30"/>
      <c r="I30" s="23"/>
    </row>
    <row r="31" spans="1:9" ht="12.9" customHeight="1">
      <c r="A31" s="17" t="s">
        <v>224</v>
      </c>
      <c r="B31" s="18" t="s">
        <v>225</v>
      </c>
      <c r="C31" s="14" t="s">
        <v>226</v>
      </c>
      <c r="D31" s="14" t="s">
        <v>216</v>
      </c>
      <c r="E31" s="19">
        <v>4174</v>
      </c>
      <c r="F31" s="20">
        <v>32.252499999999998</v>
      </c>
      <c r="G31" s="21">
        <v>6.0000000000000001E-3</v>
      </c>
      <c r="H31" s="30"/>
      <c r="I31" s="23"/>
    </row>
    <row r="32" spans="1:9" ht="12.9" customHeight="1">
      <c r="A32" s="17" t="s">
        <v>180</v>
      </c>
      <c r="B32" s="18" t="s">
        <v>181</v>
      </c>
      <c r="C32" s="14" t="s">
        <v>182</v>
      </c>
      <c r="D32" s="14" t="s">
        <v>164</v>
      </c>
      <c r="E32" s="19">
        <v>958</v>
      </c>
      <c r="F32" s="20">
        <v>30.9453</v>
      </c>
      <c r="G32" s="21">
        <v>5.7999999999999996E-3</v>
      </c>
      <c r="H32" s="30"/>
      <c r="I32" s="23"/>
    </row>
    <row r="33" spans="1:9" ht="12.9" customHeight="1">
      <c r="A33" s="17" t="s">
        <v>243</v>
      </c>
      <c r="B33" s="18" t="s">
        <v>244</v>
      </c>
      <c r="C33" s="14" t="s">
        <v>245</v>
      </c>
      <c r="D33" s="14" t="s">
        <v>157</v>
      </c>
      <c r="E33" s="19">
        <v>6755</v>
      </c>
      <c r="F33" s="20">
        <v>24.790900000000001</v>
      </c>
      <c r="G33" s="21">
        <v>4.5999999999999999E-3</v>
      </c>
      <c r="H33" s="30"/>
      <c r="I33" s="23"/>
    </row>
    <row r="34" spans="1:9" ht="12.9" customHeight="1">
      <c r="A34" s="17" t="s">
        <v>261</v>
      </c>
      <c r="B34" s="18" t="s">
        <v>262</v>
      </c>
      <c r="C34" s="14" t="s">
        <v>263</v>
      </c>
      <c r="D34" s="14" t="s">
        <v>193</v>
      </c>
      <c r="E34" s="19">
        <v>388</v>
      </c>
      <c r="F34" s="20">
        <v>18.6267</v>
      </c>
      <c r="G34" s="21">
        <v>3.5000000000000001E-3</v>
      </c>
      <c r="H34" s="30"/>
      <c r="I34" s="23"/>
    </row>
    <row r="35" spans="1:9" ht="12.9" customHeight="1">
      <c r="A35" s="17" t="s">
        <v>194</v>
      </c>
      <c r="B35" s="18" t="s">
        <v>195</v>
      </c>
      <c r="C35" s="14" t="s">
        <v>196</v>
      </c>
      <c r="D35" s="14" t="s">
        <v>179</v>
      </c>
      <c r="E35" s="19">
        <v>485</v>
      </c>
      <c r="F35" s="20">
        <v>11.1235</v>
      </c>
      <c r="G35" s="21">
        <v>2.0999999999999999E-3</v>
      </c>
      <c r="H35" s="30"/>
      <c r="I35" s="23"/>
    </row>
    <row r="36" spans="1:9" ht="12.9" customHeight="1">
      <c r="A36" s="17" t="s">
        <v>190</v>
      </c>
      <c r="B36" s="18" t="s">
        <v>191</v>
      </c>
      <c r="C36" s="14" t="s">
        <v>192</v>
      </c>
      <c r="D36" s="14" t="s">
        <v>193</v>
      </c>
      <c r="E36" s="19">
        <v>894</v>
      </c>
      <c r="F36" s="20">
        <v>9.0534999999999997</v>
      </c>
      <c r="G36" s="21">
        <v>1.6999999999999999E-3</v>
      </c>
      <c r="H36" s="30"/>
      <c r="I36" s="23"/>
    </row>
    <row r="37" spans="1:9" ht="12.9" customHeight="1">
      <c r="A37" s="17" t="s">
        <v>276</v>
      </c>
      <c r="B37" s="18" t="s">
        <v>277</v>
      </c>
      <c r="C37" s="14" t="s">
        <v>278</v>
      </c>
      <c r="D37" s="14" t="s">
        <v>250</v>
      </c>
      <c r="E37" s="19">
        <v>2268</v>
      </c>
      <c r="F37" s="20">
        <v>4.3263999999999996</v>
      </c>
      <c r="G37" s="21">
        <v>8.0000000000000004E-4</v>
      </c>
      <c r="H37" s="30"/>
      <c r="I37" s="23"/>
    </row>
    <row r="38" spans="1:9" ht="12.9" customHeight="1">
      <c r="A38" s="17" t="s">
        <v>217</v>
      </c>
      <c r="B38" s="18" t="s">
        <v>218</v>
      </c>
      <c r="C38" s="14" t="s">
        <v>219</v>
      </c>
      <c r="D38" s="14" t="s">
        <v>220</v>
      </c>
      <c r="E38" s="19">
        <v>232</v>
      </c>
      <c r="F38" s="20">
        <v>2.8849</v>
      </c>
      <c r="G38" s="21">
        <v>5.0000000000000001E-4</v>
      </c>
      <c r="H38" s="30"/>
      <c r="I38" s="23"/>
    </row>
    <row r="39" spans="1:9" ht="12.9" customHeight="1">
      <c r="A39" s="17" t="s">
        <v>282</v>
      </c>
      <c r="B39" s="18" t="s">
        <v>3064</v>
      </c>
      <c r="C39" s="14" t="s">
        <v>283</v>
      </c>
      <c r="D39" s="14" t="s">
        <v>220</v>
      </c>
      <c r="E39" s="19">
        <v>485</v>
      </c>
      <c r="F39" s="20">
        <v>0.19500000000000001</v>
      </c>
      <c r="G39" s="30" t="s">
        <v>95</v>
      </c>
      <c r="H39" s="30"/>
      <c r="I39" s="23"/>
    </row>
    <row r="40" spans="1:9" ht="12.9" customHeight="1">
      <c r="A40" s="5"/>
      <c r="B40" s="13" t="s">
        <v>88</v>
      </c>
      <c r="C40" s="14"/>
      <c r="D40" s="14"/>
      <c r="E40" s="14"/>
      <c r="F40" s="24">
        <v>2163.154</v>
      </c>
      <c r="G40" s="25">
        <v>0.4037</v>
      </c>
      <c r="H40" s="26"/>
      <c r="I40" s="27"/>
    </row>
    <row r="41" spans="1:9" ht="12.9" customHeight="1">
      <c r="A41" s="5"/>
      <c r="B41" s="28" t="s">
        <v>284</v>
      </c>
      <c r="C41" s="2"/>
      <c r="D41" s="2"/>
      <c r="E41" s="2"/>
      <c r="F41" s="26" t="s">
        <v>90</v>
      </c>
      <c r="G41" s="26" t="s">
        <v>90</v>
      </c>
      <c r="H41" s="26"/>
      <c r="I41" s="27"/>
    </row>
    <row r="42" spans="1:9" ht="12.9" customHeight="1">
      <c r="A42" s="5"/>
      <c r="B42" s="28" t="s">
        <v>88</v>
      </c>
      <c r="C42" s="2"/>
      <c r="D42" s="2"/>
      <c r="E42" s="2"/>
      <c r="F42" s="26" t="s">
        <v>90</v>
      </c>
      <c r="G42" s="26" t="s">
        <v>90</v>
      </c>
      <c r="H42" s="26"/>
      <c r="I42" s="27"/>
    </row>
    <row r="43" spans="1:9" ht="12.9" customHeight="1">
      <c r="A43" s="5"/>
      <c r="B43" s="28" t="s">
        <v>91</v>
      </c>
      <c r="C43" s="29"/>
      <c r="D43" s="2"/>
      <c r="E43" s="29"/>
      <c r="F43" s="24">
        <v>2163.154</v>
      </c>
      <c r="G43" s="25">
        <v>0.4037</v>
      </c>
      <c r="H43" s="26"/>
      <c r="I43" s="27"/>
    </row>
    <row r="44" spans="1:9" ht="12.9" customHeight="1">
      <c r="A44" s="5"/>
      <c r="B44" s="13" t="s">
        <v>79</v>
      </c>
      <c r="C44" s="14"/>
      <c r="D44" s="14"/>
      <c r="E44" s="14"/>
      <c r="F44" s="14"/>
      <c r="G44" s="14"/>
      <c r="H44" s="15"/>
      <c r="I44" s="16"/>
    </row>
    <row r="45" spans="1:9" ht="12.9" customHeight="1">
      <c r="A45" s="5"/>
      <c r="B45" s="13" t="s">
        <v>80</v>
      </c>
      <c r="C45" s="14"/>
      <c r="D45" s="14"/>
      <c r="E45" s="14"/>
      <c r="F45" s="5"/>
      <c r="G45" s="15"/>
      <c r="H45" s="15"/>
      <c r="I45" s="16"/>
    </row>
    <row r="46" spans="1:9" ht="12.9" customHeight="1">
      <c r="A46" s="17" t="s">
        <v>1158</v>
      </c>
      <c r="B46" s="18" t="s">
        <v>1159</v>
      </c>
      <c r="C46" s="14" t="s">
        <v>1160</v>
      </c>
      <c r="D46" s="14" t="s">
        <v>84</v>
      </c>
      <c r="E46" s="19">
        <v>1600000</v>
      </c>
      <c r="F46" s="20">
        <v>1635.2847999999999</v>
      </c>
      <c r="G46" s="21">
        <v>0.30520000000000003</v>
      </c>
      <c r="H46" s="22">
        <v>7.0184999999999997E-2</v>
      </c>
      <c r="I46" s="23"/>
    </row>
    <row r="47" spans="1:9" ht="12.9" customHeight="1">
      <c r="A47" s="17" t="s">
        <v>1438</v>
      </c>
      <c r="B47" s="18" t="s">
        <v>1439</v>
      </c>
      <c r="C47" s="14" t="s">
        <v>1440</v>
      </c>
      <c r="D47" s="14" t="s">
        <v>84</v>
      </c>
      <c r="E47" s="19">
        <v>800000</v>
      </c>
      <c r="F47" s="20">
        <v>792.72239999999999</v>
      </c>
      <c r="G47" s="21">
        <v>0.1479</v>
      </c>
      <c r="H47" s="22">
        <v>7.5480000000000005E-2</v>
      </c>
      <c r="I47" s="23"/>
    </row>
    <row r="48" spans="1:9" ht="12.9" customHeight="1">
      <c r="A48" s="17" t="s">
        <v>889</v>
      </c>
      <c r="B48" s="18" t="s">
        <v>890</v>
      </c>
      <c r="C48" s="14" t="s">
        <v>891</v>
      </c>
      <c r="D48" s="14" t="s">
        <v>84</v>
      </c>
      <c r="E48" s="19">
        <v>500000</v>
      </c>
      <c r="F48" s="20">
        <v>514</v>
      </c>
      <c r="G48" s="21">
        <v>9.5899999999999999E-2</v>
      </c>
      <c r="H48" s="22">
        <v>6.7644999999999997E-2</v>
      </c>
      <c r="I48" s="23"/>
    </row>
    <row r="49" spans="1:9" ht="12.9" customHeight="1">
      <c r="A49" s="5"/>
      <c r="B49" s="13" t="s">
        <v>88</v>
      </c>
      <c r="C49" s="14"/>
      <c r="D49" s="14"/>
      <c r="E49" s="14"/>
      <c r="F49" s="24">
        <v>2942.0072</v>
      </c>
      <c r="G49" s="25">
        <v>0.54900000000000004</v>
      </c>
      <c r="H49" s="26"/>
      <c r="I49" s="27"/>
    </row>
    <row r="50" spans="1:9" ht="12.9" customHeight="1">
      <c r="A50" s="5"/>
      <c r="B50" s="28" t="s">
        <v>89</v>
      </c>
      <c r="C50" s="2"/>
      <c r="D50" s="2"/>
      <c r="E50" s="2"/>
      <c r="F50" s="26" t="s">
        <v>90</v>
      </c>
      <c r="G50" s="26" t="s">
        <v>90</v>
      </c>
      <c r="H50" s="26"/>
      <c r="I50" s="27"/>
    </row>
    <row r="51" spans="1:9" ht="12.9" customHeight="1">
      <c r="A51" s="5"/>
      <c r="B51" s="28" t="s">
        <v>88</v>
      </c>
      <c r="C51" s="2"/>
      <c r="D51" s="2"/>
      <c r="E51" s="2"/>
      <c r="F51" s="26" t="s">
        <v>90</v>
      </c>
      <c r="G51" s="26" t="s">
        <v>90</v>
      </c>
      <c r="H51" s="26"/>
      <c r="I51" s="27"/>
    </row>
    <row r="52" spans="1:9" ht="12.9" customHeight="1">
      <c r="A52" s="5"/>
      <c r="B52" s="28" t="s">
        <v>91</v>
      </c>
      <c r="C52" s="29"/>
      <c r="D52" s="2"/>
      <c r="E52" s="29"/>
      <c r="F52" s="24">
        <v>2942.0072</v>
      </c>
      <c r="G52" s="25">
        <v>0.54900000000000004</v>
      </c>
      <c r="H52" s="26"/>
      <c r="I52" s="27"/>
    </row>
    <row r="53" spans="1:9" ht="12.9" customHeight="1">
      <c r="A53" s="5"/>
      <c r="B53" s="13" t="s">
        <v>92</v>
      </c>
      <c r="C53" s="14"/>
      <c r="D53" s="14"/>
      <c r="E53" s="14"/>
      <c r="F53" s="14"/>
      <c r="G53" s="14"/>
      <c r="H53" s="15"/>
      <c r="I53" s="16"/>
    </row>
    <row r="54" spans="1:9" ht="12.9" customHeight="1">
      <c r="A54" s="17" t="s">
        <v>93</v>
      </c>
      <c r="B54" s="18" t="s">
        <v>94</v>
      </c>
      <c r="C54" s="14"/>
      <c r="D54" s="14"/>
      <c r="E54" s="19"/>
      <c r="F54" s="20">
        <v>190.44</v>
      </c>
      <c r="G54" s="21">
        <v>3.5499999999999997E-2</v>
      </c>
      <c r="H54" s="22">
        <v>5.0765135597768657E-2</v>
      </c>
      <c r="I54" s="23"/>
    </row>
    <row r="55" spans="1:9" ht="12.9" customHeight="1">
      <c r="A55" s="5"/>
      <c r="B55" s="13" t="s">
        <v>88</v>
      </c>
      <c r="C55" s="14"/>
      <c r="D55" s="14"/>
      <c r="E55" s="14"/>
      <c r="F55" s="24">
        <v>190.44</v>
      </c>
      <c r="G55" s="25">
        <v>3.5499999999999997E-2</v>
      </c>
      <c r="H55" s="26"/>
      <c r="I55" s="27"/>
    </row>
    <row r="56" spans="1:9" ht="12.9" customHeight="1">
      <c r="A56" s="5"/>
      <c r="B56" s="28" t="s">
        <v>91</v>
      </c>
      <c r="C56" s="29"/>
      <c r="D56" s="2"/>
      <c r="E56" s="29"/>
      <c r="F56" s="24">
        <v>190.44</v>
      </c>
      <c r="G56" s="25">
        <v>3.5499999999999997E-2</v>
      </c>
      <c r="H56" s="26"/>
      <c r="I56" s="27"/>
    </row>
    <row r="57" spans="1:9" ht="12.9" customHeight="1">
      <c r="A57" s="5"/>
      <c r="B57" s="28" t="s">
        <v>96</v>
      </c>
      <c r="C57" s="14"/>
      <c r="D57" s="2"/>
      <c r="E57" s="14"/>
      <c r="F57" s="31">
        <v>63.098799999999997</v>
      </c>
      <c r="G57" s="25">
        <v>1.18E-2</v>
      </c>
      <c r="H57" s="26"/>
      <c r="I57" s="27"/>
    </row>
    <row r="58" spans="1:9" ht="12.9" customHeight="1">
      <c r="A58" s="5"/>
      <c r="B58" s="32" t="s">
        <v>97</v>
      </c>
      <c r="C58" s="33"/>
      <c r="D58" s="33"/>
      <c r="E58" s="33"/>
      <c r="F58" s="34">
        <v>5358.7</v>
      </c>
      <c r="G58" s="35">
        <v>1</v>
      </c>
      <c r="H58" s="36"/>
      <c r="I58" s="37"/>
    </row>
    <row r="59" spans="1:9" ht="12.9" customHeight="1">
      <c r="A59" s="5"/>
      <c r="B59" s="7"/>
      <c r="C59" s="5"/>
      <c r="D59" s="5"/>
      <c r="E59" s="5"/>
      <c r="F59" s="5"/>
      <c r="G59" s="5"/>
      <c r="H59" s="5"/>
      <c r="I59" s="5"/>
    </row>
    <row r="60" spans="1:9" ht="12.9" customHeight="1">
      <c r="A60" s="5"/>
      <c r="B60" s="4" t="s">
        <v>98</v>
      </c>
      <c r="C60" s="5"/>
      <c r="D60" s="5"/>
      <c r="E60" s="5"/>
      <c r="F60" s="5"/>
      <c r="G60" s="5"/>
      <c r="H60" s="5"/>
      <c r="I60" s="5"/>
    </row>
    <row r="61" spans="1:9" ht="12.9" customHeight="1">
      <c r="A61" s="5"/>
      <c r="B61" s="4" t="s">
        <v>99</v>
      </c>
      <c r="C61" s="5"/>
      <c r="D61" s="5"/>
      <c r="E61" s="5"/>
      <c r="F61" s="5"/>
      <c r="G61" s="5"/>
      <c r="H61" s="5"/>
      <c r="I61" s="5"/>
    </row>
    <row r="62" spans="1:9" ht="26.1" customHeight="1">
      <c r="A62" s="5"/>
      <c r="B62" s="50" t="s">
        <v>100</v>
      </c>
      <c r="C62" s="50"/>
      <c r="D62" s="50"/>
      <c r="E62" s="50"/>
      <c r="F62" s="50"/>
      <c r="G62" s="50"/>
      <c r="H62" s="50"/>
      <c r="I62" s="50"/>
    </row>
    <row r="63" spans="1:9" ht="12.9" customHeight="1">
      <c r="A63" s="5"/>
      <c r="B63" s="50" t="s">
        <v>101</v>
      </c>
      <c r="C63" s="50"/>
      <c r="D63" s="50"/>
      <c r="E63" s="50"/>
      <c r="F63" s="50"/>
      <c r="G63" s="50"/>
      <c r="H63" s="50"/>
      <c r="I63" s="50"/>
    </row>
    <row r="64" spans="1:9" ht="12.9" customHeight="1">
      <c r="A64" s="5"/>
      <c r="B64" s="50"/>
      <c r="C64" s="50"/>
      <c r="D64" s="50"/>
      <c r="E64" s="50"/>
      <c r="F64" s="50"/>
      <c r="G64" s="50"/>
      <c r="H64" s="50"/>
      <c r="I64" s="50"/>
    </row>
    <row r="65" spans="1:9" ht="12.9" customHeight="1">
      <c r="A65" s="5"/>
      <c r="B65" s="50"/>
      <c r="C65" s="50"/>
      <c r="D65" s="50"/>
      <c r="E65" s="50"/>
      <c r="F65" s="50"/>
      <c r="G65" s="50"/>
      <c r="H65" s="50"/>
      <c r="I65" s="50"/>
    </row>
    <row r="66" spans="1:9" ht="12.9" customHeight="1">
      <c r="A66" s="5"/>
      <c r="B66" s="5"/>
      <c r="C66" s="51" t="s">
        <v>2465</v>
      </c>
      <c r="D66" s="51"/>
      <c r="E66" s="51"/>
      <c r="F66" s="51"/>
      <c r="G66" s="5"/>
      <c r="H66" s="5"/>
      <c r="I66" s="5"/>
    </row>
    <row r="67" spans="1:9" ht="12.9" customHeight="1">
      <c r="A67" s="5"/>
      <c r="B67" s="38" t="s">
        <v>103</v>
      </c>
      <c r="C67" s="51" t="s">
        <v>104</v>
      </c>
      <c r="D67" s="51"/>
      <c r="E67" s="51"/>
      <c r="F67" s="51"/>
      <c r="G67" s="5"/>
      <c r="H67" s="5"/>
      <c r="I67" s="5"/>
    </row>
    <row r="68" spans="1:9" ht="135" customHeight="1">
      <c r="A68" s="5"/>
      <c r="B68" s="39"/>
      <c r="C68" s="52"/>
      <c r="D68" s="52"/>
      <c r="E68" s="5"/>
      <c r="F68" s="5"/>
      <c r="G68" s="5"/>
      <c r="H68" s="5"/>
      <c r="I68" s="5"/>
    </row>
  </sheetData>
  <mergeCells count="7">
    <mergeCell ref="B65:I65"/>
    <mergeCell ref="C66:F66"/>
    <mergeCell ref="C67:F67"/>
    <mergeCell ref="C68:D68"/>
    <mergeCell ref="B62:I62"/>
    <mergeCell ref="B63:I63"/>
    <mergeCell ref="B64:I64"/>
  </mergeCells>
  <hyperlinks>
    <hyperlink ref="A1" location="AxisRetirementFundConservativePlan" display="AXISRCP" xr:uid="{00000000-0004-0000-4400-000000000000}"/>
    <hyperlink ref="B1" location="AxisRetirementFundConservativePlan" display="Axis Retirement Fund - Conservative Plan" xr:uid="{00000000-0004-0000-4400-000001000000}"/>
  </hyperlinks>
  <pageMargins left="0" right="0" top="0" bottom="0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/>
  </sheetPr>
  <dimension ref="A1:I36"/>
  <sheetViews>
    <sheetView workbookViewId="0">
      <selection activeCell="B31" sqref="B31:I31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55</v>
      </c>
      <c r="B1" s="4" t="s">
        <v>56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2466</v>
      </c>
      <c r="B7" s="18" t="s">
        <v>2467</v>
      </c>
      <c r="C7" s="14" t="s">
        <v>2468</v>
      </c>
      <c r="D7" s="14" t="s">
        <v>84</v>
      </c>
      <c r="E7" s="19">
        <v>2800000</v>
      </c>
      <c r="F7" s="20">
        <v>2833.3535999999999</v>
      </c>
      <c r="G7" s="21">
        <v>0.41830000000000001</v>
      </c>
      <c r="H7" s="22">
        <v>5.7862999999999998E-2</v>
      </c>
      <c r="I7" s="23"/>
    </row>
    <row r="8" spans="1:9" ht="12.9" customHeight="1">
      <c r="A8" s="17" t="s">
        <v>2469</v>
      </c>
      <c r="B8" s="18" t="s">
        <v>2470</v>
      </c>
      <c r="C8" s="14" t="s">
        <v>2471</v>
      </c>
      <c r="D8" s="14" t="s">
        <v>84</v>
      </c>
      <c r="E8" s="19">
        <v>794300</v>
      </c>
      <c r="F8" s="20">
        <v>803.79430000000002</v>
      </c>
      <c r="G8" s="21">
        <v>0.1187</v>
      </c>
      <c r="H8" s="22">
        <v>5.756E-2</v>
      </c>
      <c r="I8" s="23"/>
    </row>
    <row r="9" spans="1:9" ht="12.9" customHeight="1">
      <c r="A9" s="17" t="s">
        <v>1453</v>
      </c>
      <c r="B9" s="18" t="s">
        <v>1454</v>
      </c>
      <c r="C9" s="14" t="s">
        <v>1455</v>
      </c>
      <c r="D9" s="14" t="s">
        <v>84</v>
      </c>
      <c r="E9" s="19">
        <v>800000</v>
      </c>
      <c r="F9" s="20">
        <v>802.83119999999997</v>
      </c>
      <c r="G9" s="21">
        <v>0.11849999999999999</v>
      </c>
      <c r="H9" s="22">
        <v>5.7457000000000001E-2</v>
      </c>
      <c r="I9" s="23"/>
    </row>
    <row r="10" spans="1:9" ht="12.9" customHeight="1">
      <c r="A10" s="17" t="s">
        <v>2472</v>
      </c>
      <c r="B10" s="18" t="s">
        <v>2473</v>
      </c>
      <c r="C10" s="14" t="s">
        <v>2474</v>
      </c>
      <c r="D10" s="14" t="s">
        <v>84</v>
      </c>
      <c r="E10" s="19">
        <v>500000</v>
      </c>
      <c r="F10" s="20">
        <v>505.89499999999998</v>
      </c>
      <c r="G10" s="21">
        <v>7.4700000000000003E-2</v>
      </c>
      <c r="H10" s="22">
        <v>5.7924999999999997E-2</v>
      </c>
      <c r="I10" s="23"/>
    </row>
    <row r="11" spans="1:9" ht="12.9" customHeight="1">
      <c r="A11" s="17" t="s">
        <v>2475</v>
      </c>
      <c r="B11" s="18" t="s">
        <v>2476</v>
      </c>
      <c r="C11" s="14" t="s">
        <v>2477</v>
      </c>
      <c r="D11" s="14" t="s">
        <v>84</v>
      </c>
      <c r="E11" s="19">
        <v>500000</v>
      </c>
      <c r="F11" s="20">
        <v>505.4735</v>
      </c>
      <c r="G11" s="21">
        <v>7.46E-2</v>
      </c>
      <c r="H11" s="22">
        <v>5.7862999999999998E-2</v>
      </c>
      <c r="I11" s="23"/>
    </row>
    <row r="12" spans="1:9" ht="12.9" customHeight="1">
      <c r="A12" s="17" t="s">
        <v>736</v>
      </c>
      <c r="B12" s="18" t="s">
        <v>737</v>
      </c>
      <c r="C12" s="14" t="s">
        <v>738</v>
      </c>
      <c r="D12" s="14" t="s">
        <v>84</v>
      </c>
      <c r="E12" s="19">
        <v>405000</v>
      </c>
      <c r="F12" s="20">
        <v>413.92009999999999</v>
      </c>
      <c r="G12" s="21">
        <v>6.1100000000000002E-2</v>
      </c>
      <c r="H12" s="22">
        <v>5.7714000000000001E-2</v>
      </c>
      <c r="I12" s="23"/>
    </row>
    <row r="13" spans="1:9" ht="12.9" customHeight="1">
      <c r="A13" s="17" t="s">
        <v>2478</v>
      </c>
      <c r="B13" s="18" t="s">
        <v>2479</v>
      </c>
      <c r="C13" s="14" t="s">
        <v>2480</v>
      </c>
      <c r="D13" s="14" t="s">
        <v>84</v>
      </c>
      <c r="E13" s="19">
        <v>200000</v>
      </c>
      <c r="F13" s="20">
        <v>202.51339999999999</v>
      </c>
      <c r="G13" s="21">
        <v>2.9899999999999999E-2</v>
      </c>
      <c r="H13" s="22">
        <v>5.756E-2</v>
      </c>
      <c r="I13" s="23"/>
    </row>
    <row r="14" spans="1:9" ht="12.9" customHeight="1">
      <c r="A14" s="17" t="s">
        <v>2481</v>
      </c>
      <c r="B14" s="18" t="s">
        <v>2482</v>
      </c>
      <c r="C14" s="14" t="s">
        <v>2483</v>
      </c>
      <c r="D14" s="14" t="s">
        <v>84</v>
      </c>
      <c r="E14" s="19">
        <v>165300</v>
      </c>
      <c r="F14" s="20">
        <v>167.12790000000001</v>
      </c>
      <c r="G14" s="21">
        <v>2.47E-2</v>
      </c>
      <c r="H14" s="22">
        <v>5.7611000000000002E-2</v>
      </c>
      <c r="I14" s="23"/>
    </row>
    <row r="15" spans="1:9" ht="12.9" customHeight="1">
      <c r="A15" s="17" t="s">
        <v>2484</v>
      </c>
      <c r="B15" s="18" t="s">
        <v>2485</v>
      </c>
      <c r="C15" s="14" t="s">
        <v>2486</v>
      </c>
      <c r="D15" s="14" t="s">
        <v>84</v>
      </c>
      <c r="E15" s="19">
        <v>150000</v>
      </c>
      <c r="F15" s="20">
        <v>151.80289999999999</v>
      </c>
      <c r="G15" s="21">
        <v>2.24E-2</v>
      </c>
      <c r="H15" s="22">
        <v>5.7611000000000002E-2</v>
      </c>
      <c r="I15" s="23"/>
    </row>
    <row r="16" spans="1:9" ht="12.9" customHeight="1">
      <c r="A16" s="17" t="s">
        <v>2487</v>
      </c>
      <c r="B16" s="18" t="s">
        <v>2488</v>
      </c>
      <c r="C16" s="14" t="s">
        <v>2489</v>
      </c>
      <c r="D16" s="14" t="s">
        <v>84</v>
      </c>
      <c r="E16" s="19">
        <v>100000</v>
      </c>
      <c r="F16" s="20">
        <v>101.2393</v>
      </c>
      <c r="G16" s="21">
        <v>1.49E-2</v>
      </c>
      <c r="H16" s="22">
        <v>5.7924999999999997E-2</v>
      </c>
      <c r="I16" s="23"/>
    </row>
    <row r="17" spans="1:9" ht="12.9" customHeight="1">
      <c r="A17" s="5"/>
      <c r="B17" s="13" t="s">
        <v>88</v>
      </c>
      <c r="C17" s="14"/>
      <c r="D17" s="14"/>
      <c r="E17" s="14"/>
      <c r="F17" s="24">
        <v>6487.9511000000002</v>
      </c>
      <c r="G17" s="25">
        <v>0.95789999999999997</v>
      </c>
      <c r="H17" s="26"/>
      <c r="I17" s="27"/>
    </row>
    <row r="18" spans="1:9" ht="12.9" customHeight="1">
      <c r="A18" s="5"/>
      <c r="B18" s="28" t="s">
        <v>89</v>
      </c>
      <c r="C18" s="2"/>
      <c r="D18" s="2"/>
      <c r="E18" s="2"/>
      <c r="F18" s="26" t="s">
        <v>90</v>
      </c>
      <c r="G18" s="26" t="s">
        <v>90</v>
      </c>
      <c r="H18" s="26"/>
      <c r="I18" s="27"/>
    </row>
    <row r="19" spans="1:9" ht="12.9" customHeight="1">
      <c r="A19" s="5"/>
      <c r="B19" s="28" t="s">
        <v>88</v>
      </c>
      <c r="C19" s="2"/>
      <c r="D19" s="2"/>
      <c r="E19" s="2"/>
      <c r="F19" s="26" t="s">
        <v>90</v>
      </c>
      <c r="G19" s="26" t="s">
        <v>90</v>
      </c>
      <c r="H19" s="26"/>
      <c r="I19" s="27"/>
    </row>
    <row r="20" spans="1:9" ht="12.9" customHeight="1">
      <c r="A20" s="5"/>
      <c r="B20" s="28" t="s">
        <v>91</v>
      </c>
      <c r="C20" s="29"/>
      <c r="D20" s="2"/>
      <c r="E20" s="29"/>
      <c r="F20" s="24">
        <v>6487.9511000000002</v>
      </c>
      <c r="G20" s="25">
        <v>0.95789999999999997</v>
      </c>
      <c r="H20" s="26"/>
      <c r="I20" s="27"/>
    </row>
    <row r="21" spans="1:9" ht="12.9" customHeight="1">
      <c r="A21" s="5"/>
      <c r="B21" s="13" t="s">
        <v>92</v>
      </c>
      <c r="C21" s="14"/>
      <c r="D21" s="14"/>
      <c r="E21" s="14"/>
      <c r="F21" s="14"/>
      <c r="G21" s="14"/>
      <c r="H21" s="15"/>
      <c r="I21" s="16"/>
    </row>
    <row r="22" spans="1:9" ht="12.9" customHeight="1">
      <c r="A22" s="17" t="s">
        <v>93</v>
      </c>
      <c r="B22" s="18" t="s">
        <v>94</v>
      </c>
      <c r="C22" s="14"/>
      <c r="D22" s="14"/>
      <c r="E22" s="19"/>
      <c r="F22" s="20">
        <v>127.48</v>
      </c>
      <c r="G22" s="21">
        <v>1.8800000000000001E-2</v>
      </c>
      <c r="H22" s="22">
        <v>5.0765194188967237E-2</v>
      </c>
      <c r="I22" s="23"/>
    </row>
    <row r="23" spans="1:9" ht="12.9" customHeight="1">
      <c r="A23" s="5"/>
      <c r="B23" s="13" t="s">
        <v>88</v>
      </c>
      <c r="C23" s="14"/>
      <c r="D23" s="14"/>
      <c r="E23" s="14"/>
      <c r="F23" s="24">
        <v>127.48</v>
      </c>
      <c r="G23" s="25">
        <v>1.8800000000000001E-2</v>
      </c>
      <c r="H23" s="26"/>
      <c r="I23" s="27"/>
    </row>
    <row r="24" spans="1:9" ht="12.9" customHeight="1">
      <c r="A24" s="5"/>
      <c r="B24" s="28" t="s">
        <v>91</v>
      </c>
      <c r="C24" s="29"/>
      <c r="D24" s="2"/>
      <c r="E24" s="29"/>
      <c r="F24" s="24">
        <v>127.48</v>
      </c>
      <c r="G24" s="25">
        <v>1.8800000000000001E-2</v>
      </c>
      <c r="H24" s="26"/>
      <c r="I24" s="27"/>
    </row>
    <row r="25" spans="1:9" ht="12.9" customHeight="1">
      <c r="A25" s="5"/>
      <c r="B25" s="28" t="s">
        <v>96</v>
      </c>
      <c r="C25" s="14"/>
      <c r="D25" s="2"/>
      <c r="E25" s="14"/>
      <c r="F25" s="31">
        <v>157.68889999999999</v>
      </c>
      <c r="G25" s="25">
        <v>2.3300000000000001E-2</v>
      </c>
      <c r="H25" s="26"/>
      <c r="I25" s="27"/>
    </row>
    <row r="26" spans="1:9" ht="12.9" customHeight="1">
      <c r="A26" s="5"/>
      <c r="B26" s="32" t="s">
        <v>97</v>
      </c>
      <c r="C26" s="33"/>
      <c r="D26" s="33"/>
      <c r="E26" s="33"/>
      <c r="F26" s="34">
        <v>6773.12</v>
      </c>
      <c r="G26" s="35">
        <v>1</v>
      </c>
      <c r="H26" s="36"/>
      <c r="I26" s="37"/>
    </row>
    <row r="27" spans="1:9" ht="12.9" customHeight="1">
      <c r="A27" s="5"/>
      <c r="B27" s="7"/>
      <c r="C27" s="5"/>
      <c r="D27" s="5"/>
      <c r="E27" s="5"/>
      <c r="F27" s="5"/>
      <c r="G27" s="5"/>
      <c r="H27" s="5"/>
      <c r="I27" s="5"/>
    </row>
    <row r="28" spans="1:9" ht="12.9" customHeight="1">
      <c r="A28" s="5"/>
      <c r="B28" s="4" t="s">
        <v>99</v>
      </c>
      <c r="C28" s="5"/>
      <c r="D28" s="5"/>
      <c r="E28" s="5"/>
      <c r="F28" s="5"/>
      <c r="G28" s="5"/>
      <c r="H28" s="5"/>
      <c r="I28" s="5"/>
    </row>
    <row r="29" spans="1:9" ht="26.1" customHeight="1">
      <c r="A29" s="5"/>
      <c r="B29" s="50" t="s">
        <v>100</v>
      </c>
      <c r="C29" s="50"/>
      <c r="D29" s="50"/>
      <c r="E29" s="50"/>
      <c r="F29" s="50"/>
      <c r="G29" s="50"/>
      <c r="H29" s="50"/>
      <c r="I29" s="50"/>
    </row>
    <row r="30" spans="1:9" ht="12.9" customHeight="1">
      <c r="A30" s="5"/>
      <c r="B30" s="50" t="s">
        <v>101</v>
      </c>
      <c r="C30" s="50"/>
      <c r="D30" s="50"/>
      <c r="E30" s="50"/>
      <c r="F30" s="50"/>
      <c r="G30" s="50"/>
      <c r="H30" s="50"/>
      <c r="I30" s="50"/>
    </row>
    <row r="31" spans="1:9" ht="12.9" customHeight="1">
      <c r="A31" s="5"/>
      <c r="B31" s="50" t="s">
        <v>2490</v>
      </c>
      <c r="C31" s="50"/>
      <c r="D31" s="50"/>
      <c r="E31" s="50"/>
      <c r="F31" s="50"/>
      <c r="G31" s="5"/>
      <c r="H31" s="5"/>
      <c r="I31" s="5"/>
    </row>
    <row r="32" spans="1:9" ht="12.9" customHeight="1">
      <c r="A32" s="5"/>
      <c r="B32" s="50"/>
      <c r="C32" s="50"/>
      <c r="D32" s="50"/>
      <c r="E32" s="50"/>
      <c r="F32" s="50"/>
      <c r="G32" s="50"/>
      <c r="H32" s="50"/>
      <c r="I32" s="50"/>
    </row>
    <row r="33" spans="1:9" ht="12.9" customHeight="1">
      <c r="A33" s="5"/>
      <c r="B33" s="50"/>
      <c r="C33" s="50"/>
      <c r="D33" s="50"/>
      <c r="E33" s="50"/>
      <c r="F33" s="50"/>
      <c r="G33" s="50"/>
      <c r="H33" s="50"/>
      <c r="I33" s="50"/>
    </row>
    <row r="34" spans="1:9" ht="12.9" customHeight="1">
      <c r="A34" s="5"/>
      <c r="B34" s="5"/>
      <c r="C34" s="51" t="s">
        <v>2491</v>
      </c>
      <c r="D34" s="51"/>
      <c r="E34" s="51"/>
      <c r="F34" s="51"/>
      <c r="G34" s="5"/>
      <c r="H34" s="5"/>
      <c r="I34" s="5"/>
    </row>
    <row r="35" spans="1:9" ht="12.9" customHeight="1">
      <c r="A35" s="5"/>
      <c r="B35" s="38" t="s">
        <v>103</v>
      </c>
      <c r="C35" s="51" t="s">
        <v>104</v>
      </c>
      <c r="D35" s="51"/>
      <c r="E35" s="51"/>
      <c r="F35" s="51"/>
      <c r="G35" s="5"/>
      <c r="H35" s="5"/>
      <c r="I35" s="5"/>
    </row>
    <row r="36" spans="1:9" ht="135" customHeight="1">
      <c r="A36" s="5"/>
      <c r="B36" s="39"/>
      <c r="C36" s="52"/>
      <c r="D36" s="52"/>
      <c r="E36" s="5"/>
      <c r="F36" s="5"/>
      <c r="G36" s="5"/>
      <c r="H36" s="5"/>
      <c r="I36" s="5"/>
    </row>
  </sheetData>
  <mergeCells count="8">
    <mergeCell ref="C34:F34"/>
    <mergeCell ref="C35:F35"/>
    <mergeCell ref="C36:D36"/>
    <mergeCell ref="B29:I29"/>
    <mergeCell ref="B30:I30"/>
    <mergeCell ref="B31:F31"/>
    <mergeCell ref="B32:I32"/>
    <mergeCell ref="B33:I33"/>
  </mergeCells>
  <hyperlinks>
    <hyperlink ref="A1" location="AxisNIFTYSDLSeptember2026DebtIndexFund" display="AXISSDI" xr:uid="{00000000-0004-0000-4700-000000000000}"/>
    <hyperlink ref="B1" location="AxisNIFTYSDLSeptember2026DebtIndexFund" display="Axis NIFTY SDL September 2026 Debt Index Fund" xr:uid="{00000000-0004-0000-4700-000001000000}"/>
  </hyperlinks>
  <pageMargins left="0" right="0" top="0" bottom="0" header="0" footer="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/>
  </sheetPr>
  <dimension ref="A1:I24"/>
  <sheetViews>
    <sheetView workbookViewId="0">
      <selection activeCell="B6" sqref="B6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57</v>
      </c>
      <c r="B1" s="4" t="s">
        <v>58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285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1486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2492</v>
      </c>
      <c r="B7" s="18" t="s">
        <v>2493</v>
      </c>
      <c r="C7" s="14" t="s">
        <v>2494</v>
      </c>
      <c r="D7" s="14"/>
      <c r="E7" s="19">
        <v>185165230</v>
      </c>
      <c r="F7" s="20">
        <v>24145.545999999998</v>
      </c>
      <c r="G7" s="21">
        <v>0.99639999999999995</v>
      </c>
      <c r="H7" s="30"/>
      <c r="I7" s="23"/>
    </row>
    <row r="8" spans="1:9" ht="12.9" customHeight="1">
      <c r="A8" s="5"/>
      <c r="B8" s="13" t="s">
        <v>88</v>
      </c>
      <c r="C8" s="14"/>
      <c r="D8" s="14"/>
      <c r="E8" s="14"/>
      <c r="F8" s="24">
        <v>24145.545999999998</v>
      </c>
      <c r="G8" s="25">
        <v>0.99639999999999995</v>
      </c>
      <c r="H8" s="26"/>
      <c r="I8" s="27"/>
    </row>
    <row r="9" spans="1:9" ht="12.9" customHeight="1">
      <c r="A9" s="5"/>
      <c r="B9" s="28" t="s">
        <v>91</v>
      </c>
      <c r="C9" s="29"/>
      <c r="D9" s="2"/>
      <c r="E9" s="29"/>
      <c r="F9" s="24">
        <v>24145.545999999998</v>
      </c>
      <c r="G9" s="25">
        <v>0.99639999999999995</v>
      </c>
      <c r="H9" s="26"/>
      <c r="I9" s="27"/>
    </row>
    <row r="10" spans="1:9" ht="12.9" customHeight="1">
      <c r="A10" s="5"/>
      <c r="B10" s="13" t="s">
        <v>92</v>
      </c>
      <c r="C10" s="14"/>
      <c r="D10" s="14"/>
      <c r="E10" s="14"/>
      <c r="F10" s="14"/>
      <c r="G10" s="14"/>
      <c r="H10" s="15"/>
      <c r="I10" s="16"/>
    </row>
    <row r="11" spans="1:9" ht="12.9" customHeight="1">
      <c r="A11" s="17" t="s">
        <v>93</v>
      </c>
      <c r="B11" s="18" t="s">
        <v>94</v>
      </c>
      <c r="C11" s="14"/>
      <c r="D11" s="14"/>
      <c r="E11" s="19"/>
      <c r="F11" s="20">
        <v>22.47</v>
      </c>
      <c r="G11" s="21">
        <v>8.9999999999999998E-4</v>
      </c>
      <c r="H11" s="22">
        <v>5.0765938291231529E-2</v>
      </c>
      <c r="I11" s="23"/>
    </row>
    <row r="12" spans="1:9" ht="12.9" customHeight="1">
      <c r="A12" s="5"/>
      <c r="B12" s="13" t="s">
        <v>88</v>
      </c>
      <c r="C12" s="14"/>
      <c r="D12" s="14"/>
      <c r="E12" s="14"/>
      <c r="F12" s="24">
        <v>22.47</v>
      </c>
      <c r="G12" s="25">
        <v>8.9999999999999998E-4</v>
      </c>
      <c r="H12" s="26"/>
      <c r="I12" s="27"/>
    </row>
    <row r="13" spans="1:9" ht="12.9" customHeight="1">
      <c r="A13" s="5"/>
      <c r="B13" s="28" t="s">
        <v>91</v>
      </c>
      <c r="C13" s="29"/>
      <c r="D13" s="2"/>
      <c r="E13" s="29"/>
      <c r="F13" s="24">
        <v>22.47</v>
      </c>
      <c r="G13" s="25">
        <v>8.9999999999999998E-4</v>
      </c>
      <c r="H13" s="26"/>
      <c r="I13" s="27"/>
    </row>
    <row r="14" spans="1:9" ht="12.9" customHeight="1">
      <c r="A14" s="5"/>
      <c r="B14" s="28" t="s">
        <v>96</v>
      </c>
      <c r="C14" s="14"/>
      <c r="D14" s="2"/>
      <c r="E14" s="14"/>
      <c r="F14" s="31">
        <v>65.263999999999996</v>
      </c>
      <c r="G14" s="25">
        <v>2.7000000000000001E-3</v>
      </c>
      <c r="H14" s="26"/>
      <c r="I14" s="27"/>
    </row>
    <row r="15" spans="1:9" ht="12.9" customHeight="1">
      <c r="A15" s="5"/>
      <c r="B15" s="32" t="s">
        <v>97</v>
      </c>
      <c r="C15" s="33"/>
      <c r="D15" s="33"/>
      <c r="E15" s="33"/>
      <c r="F15" s="34">
        <v>24233.279999999999</v>
      </c>
      <c r="G15" s="35">
        <v>1</v>
      </c>
      <c r="H15" s="36"/>
      <c r="I15" s="37"/>
    </row>
    <row r="16" spans="1:9" ht="12.9" customHeight="1">
      <c r="A16" s="5"/>
      <c r="B16" s="7"/>
      <c r="C16" s="5"/>
      <c r="D16" s="5"/>
      <c r="E16" s="5"/>
      <c r="F16" s="5"/>
      <c r="G16" s="5"/>
      <c r="H16" s="5"/>
      <c r="I16" s="5"/>
    </row>
    <row r="17" spans="1:9" ht="12.9" customHeight="1">
      <c r="A17" s="5"/>
      <c r="B17" s="4" t="s">
        <v>99</v>
      </c>
      <c r="C17" s="5"/>
      <c r="D17" s="5"/>
      <c r="E17" s="5"/>
      <c r="F17" s="5"/>
      <c r="G17" s="5"/>
      <c r="H17" s="5"/>
      <c r="I17" s="5"/>
    </row>
    <row r="18" spans="1:9" ht="26.1" customHeight="1">
      <c r="A18" s="5"/>
      <c r="B18" s="50" t="s">
        <v>100</v>
      </c>
      <c r="C18" s="50"/>
      <c r="D18" s="50"/>
      <c r="E18" s="50"/>
      <c r="F18" s="50"/>
      <c r="G18" s="50"/>
      <c r="H18" s="50"/>
      <c r="I18" s="50"/>
    </row>
    <row r="19" spans="1:9" ht="12.9" customHeight="1">
      <c r="A19" s="5"/>
      <c r="B19" s="50" t="s">
        <v>101</v>
      </c>
      <c r="C19" s="50"/>
      <c r="D19" s="50"/>
      <c r="E19" s="50"/>
      <c r="F19" s="50"/>
      <c r="G19" s="50"/>
      <c r="H19" s="50"/>
      <c r="I19" s="50"/>
    </row>
    <row r="20" spans="1:9" ht="12.9" customHeight="1">
      <c r="A20" s="5"/>
      <c r="B20" s="50"/>
      <c r="C20" s="50"/>
      <c r="D20" s="50"/>
      <c r="E20" s="50"/>
      <c r="F20" s="50"/>
      <c r="G20" s="50"/>
      <c r="H20" s="50"/>
      <c r="I20" s="50"/>
    </row>
    <row r="21" spans="1:9" ht="12.9" customHeight="1">
      <c r="A21" s="5"/>
      <c r="B21" s="50"/>
      <c r="C21" s="50"/>
      <c r="D21" s="50"/>
      <c r="E21" s="50"/>
      <c r="F21" s="50"/>
      <c r="G21" s="50"/>
      <c r="H21" s="50"/>
      <c r="I21" s="50"/>
    </row>
    <row r="22" spans="1:9" ht="12.9" customHeight="1">
      <c r="A22" s="5"/>
      <c r="B22" s="5"/>
      <c r="C22" s="51" t="s">
        <v>2495</v>
      </c>
      <c r="D22" s="51"/>
      <c r="E22" s="51"/>
      <c r="F22" s="51"/>
      <c r="G22" s="5"/>
      <c r="H22" s="5"/>
      <c r="I22" s="5"/>
    </row>
    <row r="23" spans="1:9" ht="12.9" customHeight="1">
      <c r="A23" s="5"/>
      <c r="B23" s="38" t="s">
        <v>103</v>
      </c>
      <c r="C23" s="51" t="s">
        <v>104</v>
      </c>
      <c r="D23" s="51"/>
      <c r="E23" s="51"/>
      <c r="F23" s="51"/>
      <c r="G23" s="5"/>
      <c r="H23" s="5"/>
      <c r="I23" s="5"/>
    </row>
    <row r="24" spans="1:9" ht="135" customHeight="1">
      <c r="A24" s="5"/>
      <c r="B24" s="39"/>
      <c r="C24" s="52"/>
      <c r="D24" s="52"/>
      <c r="E24" s="5"/>
      <c r="F24" s="5"/>
      <c r="G24" s="5"/>
      <c r="H24" s="5"/>
      <c r="I24" s="5"/>
    </row>
  </sheetData>
  <mergeCells count="7">
    <mergeCell ref="B21:I21"/>
    <mergeCell ref="C22:F22"/>
    <mergeCell ref="C23:F23"/>
    <mergeCell ref="C24:D24"/>
    <mergeCell ref="B18:I18"/>
    <mergeCell ref="B19:I19"/>
    <mergeCell ref="B20:I20"/>
  </mergeCells>
  <hyperlinks>
    <hyperlink ref="A1" location="AxisNiftyAAABondPlusSDLApr20265050ETFFOF" display="AXISSDL" xr:uid="{00000000-0004-0000-4800-000000000000}"/>
    <hyperlink ref="B1" location="AxisNiftyAAABondPlusSDLApr20265050ETFFOF" display="Axis Nifty AAA Bond Plus SDL Apr 2026 50:50 ETF FOF" xr:uid="{00000000-0004-0000-4800-000001000000}"/>
  </hyperlinks>
  <pageMargins left="0" right="0" top="0" bottom="0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/>
  </sheetPr>
  <dimension ref="A1:I54"/>
  <sheetViews>
    <sheetView workbookViewId="0">
      <selection activeCell="B48" sqref="B48:I48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59</v>
      </c>
      <c r="B1" s="4" t="s">
        <v>60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2496</v>
      </c>
      <c r="B7" s="18" t="s">
        <v>2497</v>
      </c>
      <c r="C7" s="14" t="s">
        <v>2498</v>
      </c>
      <c r="D7" s="14" t="s">
        <v>84</v>
      </c>
      <c r="E7" s="19">
        <v>12500000</v>
      </c>
      <c r="F7" s="20">
        <v>12522.4125</v>
      </c>
      <c r="G7" s="21">
        <v>0.1134</v>
      </c>
      <c r="H7" s="22">
        <v>5.4899999999999997E-2</v>
      </c>
      <c r="I7" s="23"/>
    </row>
    <row r="8" spans="1:9" ht="12.9" customHeight="1">
      <c r="A8" s="17" t="s">
        <v>1715</v>
      </c>
      <c r="B8" s="18" t="s">
        <v>1716</v>
      </c>
      <c r="C8" s="14" t="s">
        <v>1717</v>
      </c>
      <c r="D8" s="14" t="s">
        <v>109</v>
      </c>
      <c r="E8" s="19">
        <v>1175</v>
      </c>
      <c r="F8" s="20">
        <v>11749.6945</v>
      </c>
      <c r="G8" s="21">
        <v>0.10639999999999999</v>
      </c>
      <c r="H8" s="22">
        <v>5.7544999999999999E-2</v>
      </c>
      <c r="I8" s="23"/>
    </row>
    <row r="9" spans="1:9" ht="12.9" customHeight="1">
      <c r="A9" s="17" t="s">
        <v>137</v>
      </c>
      <c r="B9" s="18" t="s">
        <v>138</v>
      </c>
      <c r="C9" s="14" t="s">
        <v>139</v>
      </c>
      <c r="D9" s="14" t="s">
        <v>109</v>
      </c>
      <c r="E9" s="19">
        <v>10000</v>
      </c>
      <c r="F9" s="20">
        <v>10017.959999999999</v>
      </c>
      <c r="G9" s="21">
        <v>9.0700000000000003E-2</v>
      </c>
      <c r="H9" s="22">
        <v>6.4838000000000007E-2</v>
      </c>
      <c r="I9" s="23"/>
    </row>
    <row r="10" spans="1:9" ht="12.9" customHeight="1">
      <c r="A10" s="17" t="s">
        <v>2499</v>
      </c>
      <c r="B10" s="18" t="s">
        <v>2500</v>
      </c>
      <c r="C10" s="14" t="s">
        <v>2501</v>
      </c>
      <c r="D10" s="14" t="s">
        <v>109</v>
      </c>
      <c r="E10" s="19">
        <v>800</v>
      </c>
      <c r="F10" s="20">
        <v>8009.2</v>
      </c>
      <c r="G10" s="21">
        <v>7.2499999999999995E-2</v>
      </c>
      <c r="H10" s="22">
        <v>6.1898000000000002E-2</v>
      </c>
      <c r="I10" s="23"/>
    </row>
    <row r="11" spans="1:9" ht="12.9" customHeight="1">
      <c r="A11" s="17" t="s">
        <v>2502</v>
      </c>
      <c r="B11" s="18" t="s">
        <v>2503</v>
      </c>
      <c r="C11" s="14" t="s">
        <v>2504</v>
      </c>
      <c r="D11" s="14" t="s">
        <v>109</v>
      </c>
      <c r="E11" s="19">
        <v>7500</v>
      </c>
      <c r="F11" s="20">
        <v>7526.8125</v>
      </c>
      <c r="G11" s="21">
        <v>6.8199999999999997E-2</v>
      </c>
      <c r="H11" s="22">
        <v>6.5249000000000001E-2</v>
      </c>
      <c r="I11" s="23"/>
    </row>
    <row r="12" spans="1:9" ht="12.9" customHeight="1">
      <c r="A12" s="17" t="s">
        <v>326</v>
      </c>
      <c r="B12" s="18" t="s">
        <v>327</v>
      </c>
      <c r="C12" s="14" t="s">
        <v>328</v>
      </c>
      <c r="D12" s="14" t="s">
        <v>109</v>
      </c>
      <c r="E12" s="19">
        <v>700</v>
      </c>
      <c r="F12" s="20">
        <v>7012.7749999999996</v>
      </c>
      <c r="G12" s="21">
        <v>6.3500000000000001E-2</v>
      </c>
      <c r="H12" s="22">
        <v>6.2100000000000002E-2</v>
      </c>
      <c r="I12" s="23"/>
    </row>
    <row r="13" spans="1:9" ht="12.9" customHeight="1">
      <c r="A13" s="17" t="s">
        <v>2505</v>
      </c>
      <c r="B13" s="18" t="s">
        <v>2506</v>
      </c>
      <c r="C13" s="14" t="s">
        <v>2507</v>
      </c>
      <c r="D13" s="14" t="s">
        <v>84</v>
      </c>
      <c r="E13" s="19">
        <v>6715000</v>
      </c>
      <c r="F13" s="20">
        <v>6754.2357000000002</v>
      </c>
      <c r="G13" s="21">
        <v>6.1199999999999997E-2</v>
      </c>
      <c r="H13" s="22">
        <v>5.5148999999999997E-2</v>
      </c>
      <c r="I13" s="23"/>
    </row>
    <row r="14" spans="1:9" ht="12.9" customHeight="1">
      <c r="A14" s="17" t="s">
        <v>2126</v>
      </c>
      <c r="B14" s="18" t="s">
        <v>2127</v>
      </c>
      <c r="C14" s="14" t="s">
        <v>2128</v>
      </c>
      <c r="D14" s="14" t="s">
        <v>84</v>
      </c>
      <c r="E14" s="19">
        <v>6600000</v>
      </c>
      <c r="F14" s="20">
        <v>6637.7784000000001</v>
      </c>
      <c r="G14" s="21">
        <v>6.0100000000000001E-2</v>
      </c>
      <c r="H14" s="22">
        <v>5.5291E-2</v>
      </c>
      <c r="I14" s="23"/>
    </row>
    <row r="15" spans="1:9" ht="12.9" customHeight="1">
      <c r="A15" s="17" t="s">
        <v>2508</v>
      </c>
      <c r="B15" s="18" t="s">
        <v>2509</v>
      </c>
      <c r="C15" s="14" t="s">
        <v>2510</v>
      </c>
      <c r="D15" s="14" t="s">
        <v>84</v>
      </c>
      <c r="E15" s="19">
        <v>5000000</v>
      </c>
      <c r="F15" s="20">
        <v>5033.5950000000003</v>
      </c>
      <c r="G15" s="21">
        <v>4.5600000000000002E-2</v>
      </c>
      <c r="H15" s="22">
        <v>5.5100000000000003E-2</v>
      </c>
      <c r="I15" s="23"/>
    </row>
    <row r="16" spans="1:9" ht="12.9" customHeight="1">
      <c r="A16" s="17" t="s">
        <v>2511</v>
      </c>
      <c r="B16" s="18" t="s">
        <v>2512</v>
      </c>
      <c r="C16" s="14" t="s">
        <v>2513</v>
      </c>
      <c r="D16" s="14" t="s">
        <v>84</v>
      </c>
      <c r="E16" s="19">
        <v>4673000</v>
      </c>
      <c r="F16" s="20">
        <v>4710.4633999999996</v>
      </c>
      <c r="G16" s="21">
        <v>4.2700000000000002E-2</v>
      </c>
      <c r="H16" s="22">
        <v>5.5909E-2</v>
      </c>
      <c r="I16" s="23"/>
    </row>
    <row r="17" spans="1:9" ht="12.9" customHeight="1">
      <c r="A17" s="17" t="s">
        <v>2514</v>
      </c>
      <c r="B17" s="18" t="s">
        <v>2515</v>
      </c>
      <c r="C17" s="14" t="s">
        <v>2516</v>
      </c>
      <c r="D17" s="14" t="s">
        <v>84</v>
      </c>
      <c r="E17" s="19">
        <v>3150000</v>
      </c>
      <c r="F17" s="20">
        <v>3168.8181</v>
      </c>
      <c r="G17" s="21">
        <v>2.87E-2</v>
      </c>
      <c r="H17" s="22">
        <v>5.5100000000000003E-2</v>
      </c>
      <c r="I17" s="23"/>
    </row>
    <row r="18" spans="1:9" ht="12.9" customHeight="1">
      <c r="A18" s="17" t="s">
        <v>1466</v>
      </c>
      <c r="B18" s="18" t="s">
        <v>1467</v>
      </c>
      <c r="C18" s="14" t="s">
        <v>1468</v>
      </c>
      <c r="D18" s="14" t="s">
        <v>109</v>
      </c>
      <c r="E18" s="19">
        <v>3000</v>
      </c>
      <c r="F18" s="20">
        <v>3007.7579999999998</v>
      </c>
      <c r="G18" s="21">
        <v>2.7199999999999998E-2</v>
      </c>
      <c r="H18" s="22">
        <v>6.5000000000000002E-2</v>
      </c>
      <c r="I18" s="23"/>
    </row>
    <row r="19" spans="1:9" ht="12.9" customHeight="1">
      <c r="A19" s="17" t="s">
        <v>2517</v>
      </c>
      <c r="B19" s="18" t="s">
        <v>2518</v>
      </c>
      <c r="C19" s="14" t="s">
        <v>2519</v>
      </c>
      <c r="D19" s="14" t="s">
        <v>84</v>
      </c>
      <c r="E19" s="19">
        <v>2545000</v>
      </c>
      <c r="F19" s="20">
        <v>2559.1374999999998</v>
      </c>
      <c r="G19" s="21">
        <v>2.3199999999999998E-2</v>
      </c>
      <c r="H19" s="22">
        <v>5.4650999999999998E-2</v>
      </c>
      <c r="I19" s="23"/>
    </row>
    <row r="20" spans="1:9" ht="12.9" customHeight="1">
      <c r="A20" s="17" t="s">
        <v>2520</v>
      </c>
      <c r="B20" s="18" t="s">
        <v>2521</v>
      </c>
      <c r="C20" s="14" t="s">
        <v>2522</v>
      </c>
      <c r="D20" s="14" t="s">
        <v>84</v>
      </c>
      <c r="E20" s="19">
        <v>2500000</v>
      </c>
      <c r="F20" s="20">
        <v>2519.8325</v>
      </c>
      <c r="G20" s="21">
        <v>2.2800000000000001E-2</v>
      </c>
      <c r="H20" s="22">
        <v>5.6349999999999997E-2</v>
      </c>
      <c r="I20" s="23"/>
    </row>
    <row r="21" spans="1:9" ht="12.9" customHeight="1">
      <c r="A21" s="17" t="s">
        <v>2523</v>
      </c>
      <c r="B21" s="18" t="s">
        <v>2524</v>
      </c>
      <c r="C21" s="14" t="s">
        <v>2525</v>
      </c>
      <c r="D21" s="14" t="s">
        <v>84</v>
      </c>
      <c r="E21" s="19">
        <v>2200000</v>
      </c>
      <c r="F21" s="20">
        <v>2201.3991999999998</v>
      </c>
      <c r="G21" s="21">
        <v>1.9900000000000001E-2</v>
      </c>
      <c r="H21" s="22">
        <v>5.3952E-2</v>
      </c>
      <c r="I21" s="23"/>
    </row>
    <row r="22" spans="1:9" ht="12.9" customHeight="1">
      <c r="A22" s="17" t="s">
        <v>2526</v>
      </c>
      <c r="B22" s="18" t="s">
        <v>2527</v>
      </c>
      <c r="C22" s="14" t="s">
        <v>2528</v>
      </c>
      <c r="D22" s="14" t="s">
        <v>84</v>
      </c>
      <c r="E22" s="19">
        <v>1955000</v>
      </c>
      <c r="F22" s="20">
        <v>1958.7751000000001</v>
      </c>
      <c r="G22" s="21">
        <v>1.77E-2</v>
      </c>
      <c r="H22" s="22">
        <v>5.4337999999999997E-2</v>
      </c>
      <c r="I22" s="23"/>
    </row>
    <row r="23" spans="1:9" ht="12.9" customHeight="1">
      <c r="A23" s="17" t="s">
        <v>1785</v>
      </c>
      <c r="B23" s="18" t="s">
        <v>1786</v>
      </c>
      <c r="C23" s="14" t="s">
        <v>1787</v>
      </c>
      <c r="D23" s="14" t="s">
        <v>84</v>
      </c>
      <c r="E23" s="19">
        <v>1500000</v>
      </c>
      <c r="F23" s="20">
        <v>1500.7739999999999</v>
      </c>
      <c r="G23" s="21">
        <v>1.3599999999999999E-2</v>
      </c>
      <c r="H23" s="22">
        <v>5.4670999999999997E-2</v>
      </c>
      <c r="I23" s="23"/>
    </row>
    <row r="24" spans="1:9" ht="12.9" customHeight="1">
      <c r="A24" s="17" t="s">
        <v>2529</v>
      </c>
      <c r="B24" s="18" t="s">
        <v>2530</v>
      </c>
      <c r="C24" s="14" t="s">
        <v>2531</v>
      </c>
      <c r="D24" s="14" t="s">
        <v>84</v>
      </c>
      <c r="E24" s="19">
        <v>1000000</v>
      </c>
      <c r="F24" s="20">
        <v>1003.092</v>
      </c>
      <c r="G24" s="21">
        <v>9.1000000000000004E-3</v>
      </c>
      <c r="H24" s="22">
        <v>5.4151999999999999E-2</v>
      </c>
      <c r="I24" s="23"/>
    </row>
    <row r="25" spans="1:9" ht="12.9" customHeight="1">
      <c r="A25" s="17" t="s">
        <v>2532</v>
      </c>
      <c r="B25" s="18" t="s">
        <v>2533</v>
      </c>
      <c r="C25" s="14" t="s">
        <v>2534</v>
      </c>
      <c r="D25" s="14" t="s">
        <v>84</v>
      </c>
      <c r="E25" s="19">
        <v>1000000</v>
      </c>
      <c r="F25" s="20">
        <v>1001.895</v>
      </c>
      <c r="G25" s="21">
        <v>9.1000000000000004E-3</v>
      </c>
      <c r="H25" s="22">
        <v>5.4151999999999999E-2</v>
      </c>
      <c r="I25" s="23"/>
    </row>
    <row r="26" spans="1:9" ht="12.9" customHeight="1">
      <c r="A26" s="17" t="s">
        <v>2535</v>
      </c>
      <c r="B26" s="18" t="s">
        <v>2536</v>
      </c>
      <c r="C26" s="14" t="s">
        <v>2537</v>
      </c>
      <c r="D26" s="14" t="s">
        <v>84</v>
      </c>
      <c r="E26" s="19">
        <v>500000</v>
      </c>
      <c r="F26" s="20">
        <v>504.00799999999998</v>
      </c>
      <c r="G26" s="21">
        <v>4.5999999999999999E-3</v>
      </c>
      <c r="H26" s="22">
        <v>5.6009000000000003E-2</v>
      </c>
      <c r="I26" s="23"/>
    </row>
    <row r="27" spans="1:9" ht="12.9" customHeight="1">
      <c r="A27" s="17" t="s">
        <v>2538</v>
      </c>
      <c r="B27" s="18" t="s">
        <v>2539</v>
      </c>
      <c r="C27" s="14" t="s">
        <v>2540</v>
      </c>
      <c r="D27" s="14" t="s">
        <v>84</v>
      </c>
      <c r="E27" s="19">
        <v>500000</v>
      </c>
      <c r="F27" s="20">
        <v>502.0335</v>
      </c>
      <c r="G27" s="21">
        <v>4.4999999999999997E-3</v>
      </c>
      <c r="H27" s="22">
        <v>5.4650999999999998E-2</v>
      </c>
      <c r="I27" s="23"/>
    </row>
    <row r="28" spans="1:9" ht="12.9" customHeight="1">
      <c r="A28" s="17" t="s">
        <v>2541</v>
      </c>
      <c r="B28" s="18" t="s">
        <v>2542</v>
      </c>
      <c r="C28" s="14" t="s">
        <v>2543</v>
      </c>
      <c r="D28" s="14" t="s">
        <v>84</v>
      </c>
      <c r="E28" s="19">
        <v>500000</v>
      </c>
      <c r="F28" s="20">
        <v>502.01249999999999</v>
      </c>
      <c r="G28" s="21">
        <v>4.4999999999999997E-3</v>
      </c>
      <c r="H28" s="22">
        <v>5.5291E-2</v>
      </c>
      <c r="I28" s="23"/>
    </row>
    <row r="29" spans="1:9" ht="12.9" customHeight="1">
      <c r="A29" s="17" t="s">
        <v>2544</v>
      </c>
      <c r="B29" s="18" t="s">
        <v>2545</v>
      </c>
      <c r="C29" s="14" t="s">
        <v>2546</v>
      </c>
      <c r="D29" s="14" t="s">
        <v>84</v>
      </c>
      <c r="E29" s="19">
        <v>500000</v>
      </c>
      <c r="F29" s="20">
        <v>501.52749999999997</v>
      </c>
      <c r="G29" s="21">
        <v>4.4999999999999997E-3</v>
      </c>
      <c r="H29" s="22">
        <v>5.4649999999999997E-2</v>
      </c>
      <c r="I29" s="23"/>
    </row>
    <row r="30" spans="1:9" ht="12.9" customHeight="1">
      <c r="A30" s="17" t="s">
        <v>2547</v>
      </c>
      <c r="B30" s="18" t="s">
        <v>2548</v>
      </c>
      <c r="C30" s="14" t="s">
        <v>2549</v>
      </c>
      <c r="D30" s="14" t="s">
        <v>84</v>
      </c>
      <c r="E30" s="19">
        <v>500000</v>
      </c>
      <c r="F30" s="20">
        <v>500.94749999999999</v>
      </c>
      <c r="G30" s="21">
        <v>4.4999999999999997E-3</v>
      </c>
      <c r="H30" s="22">
        <v>5.4151999999999999E-2</v>
      </c>
      <c r="I30" s="23"/>
    </row>
    <row r="31" spans="1:9" ht="12.9" customHeight="1">
      <c r="A31" s="17" t="s">
        <v>2550</v>
      </c>
      <c r="B31" s="18" t="s">
        <v>2551</v>
      </c>
      <c r="C31" s="14" t="s">
        <v>2552</v>
      </c>
      <c r="D31" s="14" t="s">
        <v>84</v>
      </c>
      <c r="E31" s="19">
        <v>262500</v>
      </c>
      <c r="F31" s="20">
        <v>264.25220000000002</v>
      </c>
      <c r="G31" s="21">
        <v>2.3999999999999998E-3</v>
      </c>
      <c r="H31" s="22">
        <v>5.5598000000000002E-2</v>
      </c>
      <c r="I31" s="23"/>
    </row>
    <row r="32" spans="1:9" ht="12.9" customHeight="1">
      <c r="A32" s="17" t="s">
        <v>1761</v>
      </c>
      <c r="B32" s="18" t="s">
        <v>1762</v>
      </c>
      <c r="C32" s="14" t="s">
        <v>1763</v>
      </c>
      <c r="D32" s="14" t="s">
        <v>84</v>
      </c>
      <c r="E32" s="19">
        <v>120000</v>
      </c>
      <c r="F32" s="20">
        <v>120.67100000000001</v>
      </c>
      <c r="G32" s="21">
        <v>1.1000000000000001E-3</v>
      </c>
      <c r="H32" s="22">
        <v>5.4650999999999998E-2</v>
      </c>
      <c r="I32" s="23"/>
    </row>
    <row r="33" spans="1:9" ht="12.9" customHeight="1">
      <c r="A33" s="5"/>
      <c r="B33" s="13" t="s">
        <v>88</v>
      </c>
      <c r="C33" s="14"/>
      <c r="D33" s="14"/>
      <c r="E33" s="14"/>
      <c r="F33" s="24">
        <v>101791.8607</v>
      </c>
      <c r="G33" s="25">
        <v>0.92179999999999995</v>
      </c>
      <c r="H33" s="26"/>
      <c r="I33" s="27"/>
    </row>
    <row r="34" spans="1:9" ht="12.9" customHeight="1">
      <c r="A34" s="5"/>
      <c r="B34" s="28" t="s">
        <v>89</v>
      </c>
      <c r="C34" s="2"/>
      <c r="D34" s="2"/>
      <c r="E34" s="2"/>
      <c r="F34" s="26" t="s">
        <v>90</v>
      </c>
      <c r="G34" s="26" t="s">
        <v>90</v>
      </c>
      <c r="H34" s="26"/>
      <c r="I34" s="27"/>
    </row>
    <row r="35" spans="1:9" ht="12.9" customHeight="1">
      <c r="A35" s="5"/>
      <c r="B35" s="28" t="s">
        <v>88</v>
      </c>
      <c r="C35" s="2"/>
      <c r="D35" s="2"/>
      <c r="E35" s="2"/>
      <c r="F35" s="26" t="s">
        <v>90</v>
      </c>
      <c r="G35" s="26" t="s">
        <v>90</v>
      </c>
      <c r="H35" s="26"/>
      <c r="I35" s="27"/>
    </row>
    <row r="36" spans="1:9" ht="12.9" customHeight="1">
      <c r="A36" s="5"/>
      <c r="B36" s="28" t="s">
        <v>91</v>
      </c>
      <c r="C36" s="29"/>
      <c r="D36" s="2"/>
      <c r="E36" s="29"/>
      <c r="F36" s="24">
        <v>101791.8607</v>
      </c>
      <c r="G36" s="25">
        <v>0.92179999999999995</v>
      </c>
      <c r="H36" s="26"/>
      <c r="I36" s="27"/>
    </row>
    <row r="37" spans="1:9" ht="12.9" customHeight="1">
      <c r="A37" s="5"/>
      <c r="B37" s="13" t="s">
        <v>92</v>
      </c>
      <c r="C37" s="14"/>
      <c r="D37" s="14"/>
      <c r="E37" s="14"/>
      <c r="F37" s="14"/>
      <c r="G37" s="14"/>
      <c r="H37" s="15"/>
      <c r="I37" s="16"/>
    </row>
    <row r="38" spans="1:9" ht="12.9" customHeight="1">
      <c r="A38" s="17" t="s">
        <v>93</v>
      </c>
      <c r="B38" s="18" t="s">
        <v>94</v>
      </c>
      <c r="C38" s="14"/>
      <c r="D38" s="14"/>
      <c r="E38" s="19"/>
      <c r="F38" s="20">
        <v>4816.92</v>
      </c>
      <c r="G38" s="21">
        <v>4.36E-2</v>
      </c>
      <c r="H38" s="22">
        <v>5.0765164750672914E-2</v>
      </c>
      <c r="I38" s="23"/>
    </row>
    <row r="39" spans="1:9" ht="12.9" customHeight="1">
      <c r="A39" s="5"/>
      <c r="B39" s="13" t="s">
        <v>88</v>
      </c>
      <c r="C39" s="14"/>
      <c r="D39" s="14"/>
      <c r="E39" s="14"/>
      <c r="F39" s="24">
        <v>4816.92</v>
      </c>
      <c r="G39" s="25">
        <v>4.36E-2</v>
      </c>
      <c r="H39" s="26"/>
      <c r="I39" s="27"/>
    </row>
    <row r="40" spans="1:9" ht="12.9" customHeight="1">
      <c r="A40" s="5"/>
      <c r="B40" s="28" t="s">
        <v>91</v>
      </c>
      <c r="C40" s="29"/>
      <c r="D40" s="2"/>
      <c r="E40" s="29"/>
      <c r="F40" s="24">
        <v>4816.92</v>
      </c>
      <c r="G40" s="25">
        <v>4.36E-2</v>
      </c>
      <c r="H40" s="26"/>
      <c r="I40" s="27"/>
    </row>
    <row r="41" spans="1:9" ht="12.9" customHeight="1">
      <c r="A41" s="5"/>
      <c r="B41" s="28" t="s">
        <v>96</v>
      </c>
      <c r="C41" s="14"/>
      <c r="D41" s="2"/>
      <c r="E41" s="14"/>
      <c r="F41" s="31">
        <v>3814.4292999999998</v>
      </c>
      <c r="G41" s="25">
        <v>3.4599999999999999E-2</v>
      </c>
      <c r="H41" s="26"/>
      <c r="I41" s="27"/>
    </row>
    <row r="42" spans="1:9" ht="12.9" customHeight="1">
      <c r="A42" s="5"/>
      <c r="B42" s="32" t="s">
        <v>97</v>
      </c>
      <c r="C42" s="33"/>
      <c r="D42" s="33"/>
      <c r="E42" s="33"/>
      <c r="F42" s="34">
        <v>110423.21</v>
      </c>
      <c r="G42" s="35">
        <v>1</v>
      </c>
      <c r="H42" s="36"/>
      <c r="I42" s="37"/>
    </row>
    <row r="43" spans="1:9" ht="12.9" customHeight="1">
      <c r="A43" s="5"/>
      <c r="B43" s="7"/>
      <c r="C43" s="5"/>
      <c r="D43" s="5"/>
      <c r="E43" s="5"/>
      <c r="F43" s="5"/>
      <c r="G43" s="5"/>
      <c r="H43" s="5"/>
      <c r="I43" s="5"/>
    </row>
    <row r="44" spans="1:9" ht="12.9" customHeight="1">
      <c r="A44" s="5"/>
      <c r="B44" s="4" t="s">
        <v>146</v>
      </c>
      <c r="C44" s="5"/>
      <c r="D44" s="5"/>
      <c r="E44" s="5"/>
      <c r="F44" s="5"/>
      <c r="G44" s="5"/>
      <c r="H44" s="5"/>
      <c r="I44" s="5"/>
    </row>
    <row r="45" spans="1:9" ht="12.9" customHeight="1">
      <c r="A45" s="5"/>
      <c r="B45" s="4" t="s">
        <v>99</v>
      </c>
      <c r="C45" s="5"/>
      <c r="D45" s="5"/>
      <c r="E45" s="5"/>
      <c r="F45" s="5"/>
      <c r="G45" s="5"/>
      <c r="H45" s="5"/>
      <c r="I45" s="5"/>
    </row>
    <row r="46" spans="1:9" ht="26.1" customHeight="1">
      <c r="A46" s="5"/>
      <c r="B46" s="50" t="s">
        <v>100</v>
      </c>
      <c r="C46" s="50"/>
      <c r="D46" s="50"/>
      <c r="E46" s="50"/>
      <c r="F46" s="50"/>
      <c r="G46" s="50"/>
      <c r="H46" s="50"/>
      <c r="I46" s="50"/>
    </row>
    <row r="47" spans="1:9" ht="12.9" customHeight="1">
      <c r="A47" s="5"/>
      <c r="B47" s="50" t="s">
        <v>101</v>
      </c>
      <c r="C47" s="50"/>
      <c r="D47" s="50"/>
      <c r="E47" s="50"/>
      <c r="F47" s="50"/>
      <c r="G47" s="50"/>
      <c r="H47" s="50"/>
      <c r="I47" s="50"/>
    </row>
    <row r="48" spans="1:9" ht="12.9" customHeight="1">
      <c r="A48" s="5"/>
      <c r="B48" s="50" t="s">
        <v>2553</v>
      </c>
      <c r="C48" s="50"/>
      <c r="D48" s="50"/>
      <c r="E48" s="50"/>
      <c r="F48" s="50"/>
      <c r="G48" s="5"/>
      <c r="H48" s="5"/>
      <c r="I48" s="5"/>
    </row>
    <row r="49" spans="1:9" ht="12.9" customHeight="1">
      <c r="A49" s="5"/>
      <c r="B49" s="50"/>
      <c r="C49" s="50"/>
      <c r="D49" s="50"/>
      <c r="E49" s="50"/>
      <c r="F49" s="50"/>
      <c r="G49" s="50"/>
      <c r="H49" s="50"/>
      <c r="I49" s="50"/>
    </row>
    <row r="50" spans="1:9" ht="12.9" customHeight="1">
      <c r="A50" s="5"/>
      <c r="B50" s="53" t="s">
        <v>2554</v>
      </c>
      <c r="C50" s="53"/>
      <c r="D50" s="53"/>
      <c r="E50" s="53"/>
      <c r="F50" s="5"/>
      <c r="G50" s="5"/>
      <c r="H50" s="5"/>
      <c r="I50" s="5"/>
    </row>
    <row r="51" spans="1:9" ht="12.9" customHeight="1">
      <c r="A51" s="5"/>
      <c r="B51" s="50"/>
      <c r="C51" s="50"/>
      <c r="D51" s="50"/>
      <c r="E51" s="50"/>
      <c r="F51" s="50"/>
      <c r="G51" s="50"/>
      <c r="H51" s="50"/>
      <c r="I51" s="50"/>
    </row>
    <row r="52" spans="1:9" ht="12.9" customHeight="1">
      <c r="A52" s="5"/>
      <c r="B52" s="5"/>
      <c r="C52" s="51" t="s">
        <v>2495</v>
      </c>
      <c r="D52" s="51"/>
      <c r="E52" s="51"/>
      <c r="F52" s="51"/>
      <c r="G52" s="5"/>
      <c r="H52" s="5"/>
      <c r="I52" s="5"/>
    </row>
    <row r="53" spans="1:9" ht="12.9" customHeight="1">
      <c r="A53" s="5"/>
      <c r="B53" s="38" t="s">
        <v>103</v>
      </c>
      <c r="C53" s="51" t="s">
        <v>104</v>
      </c>
      <c r="D53" s="51"/>
      <c r="E53" s="51"/>
      <c r="F53" s="51"/>
      <c r="G53" s="5"/>
      <c r="H53" s="5"/>
      <c r="I53" s="5"/>
    </row>
    <row r="54" spans="1:9" ht="135" customHeight="1">
      <c r="A54" s="5"/>
      <c r="B54" s="39"/>
      <c r="C54" s="52"/>
      <c r="D54" s="52"/>
      <c r="E54" s="5"/>
      <c r="F54" s="5"/>
      <c r="G54" s="5"/>
      <c r="H54" s="5"/>
      <c r="I54" s="5"/>
    </row>
  </sheetData>
  <mergeCells count="9">
    <mergeCell ref="B46:I46"/>
    <mergeCell ref="B47:I47"/>
    <mergeCell ref="B48:F48"/>
    <mergeCell ref="C54:D54"/>
    <mergeCell ref="B49:I49"/>
    <mergeCell ref="B50:E50"/>
    <mergeCell ref="B51:I51"/>
    <mergeCell ref="C52:F52"/>
    <mergeCell ref="C53:F53"/>
  </mergeCells>
  <hyperlinks>
    <hyperlink ref="A1" location="AxisNiftyAAABondPlusSDLApr20265050ETF" display="AXISSETF" xr:uid="{00000000-0004-0000-4900-000000000000}"/>
    <hyperlink ref="B1" location="AxisNiftyAAABondPlusSDLApr20265050ETF" display="Axis Nifty AAA Bond Plus SDL Apr 2026 50:50 ETF" xr:uid="{00000000-0004-0000-4900-000001000000}"/>
  </hyperlinks>
  <pageMargins left="0" right="0" top="0" bottom="0" header="0" footer="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/>
  </sheetPr>
  <dimension ref="A1:I262"/>
  <sheetViews>
    <sheetView workbookViewId="0">
      <selection activeCell="B257" sqref="B257:I257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61</v>
      </c>
      <c r="B1" s="4" t="s">
        <v>62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79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80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973</v>
      </c>
      <c r="B7" s="18" t="s">
        <v>974</v>
      </c>
      <c r="C7" s="14" t="s">
        <v>975</v>
      </c>
      <c r="D7" s="14" t="s">
        <v>84</v>
      </c>
      <c r="E7" s="19">
        <v>77533900</v>
      </c>
      <c r="F7" s="20">
        <v>76907.6587</v>
      </c>
      <c r="G7" s="21">
        <v>5.96E-2</v>
      </c>
      <c r="H7" s="22">
        <v>6.7000000000000004E-2</v>
      </c>
      <c r="I7" s="23"/>
    </row>
    <row r="8" spans="1:9" ht="12.9" customHeight="1">
      <c r="A8" s="17" t="s">
        <v>347</v>
      </c>
      <c r="B8" s="18" t="s">
        <v>348</v>
      </c>
      <c r="C8" s="14" t="s">
        <v>349</v>
      </c>
      <c r="D8" s="14" t="s">
        <v>109</v>
      </c>
      <c r="E8" s="19">
        <v>45000</v>
      </c>
      <c r="F8" s="20">
        <v>45607.68</v>
      </c>
      <c r="G8" s="21">
        <v>3.5400000000000001E-2</v>
      </c>
      <c r="H8" s="22">
        <v>6.9044999999999995E-2</v>
      </c>
      <c r="I8" s="23"/>
    </row>
    <row r="9" spans="1:9" ht="12.9" customHeight="1">
      <c r="A9" s="17" t="s">
        <v>715</v>
      </c>
      <c r="B9" s="18" t="s">
        <v>716</v>
      </c>
      <c r="C9" s="14" t="s">
        <v>717</v>
      </c>
      <c r="D9" s="14" t="s">
        <v>84</v>
      </c>
      <c r="E9" s="19">
        <v>42385300</v>
      </c>
      <c r="F9" s="20">
        <v>41803.604099999997</v>
      </c>
      <c r="G9" s="21">
        <v>3.2399999999999998E-2</v>
      </c>
      <c r="H9" s="22">
        <v>6.6457000000000002E-2</v>
      </c>
      <c r="I9" s="23"/>
    </row>
    <row r="10" spans="1:9" ht="12.9" customHeight="1">
      <c r="A10" s="17" t="s">
        <v>547</v>
      </c>
      <c r="B10" s="18" t="s">
        <v>548</v>
      </c>
      <c r="C10" s="14" t="s">
        <v>549</v>
      </c>
      <c r="D10" s="14" t="s">
        <v>109</v>
      </c>
      <c r="E10" s="19">
        <v>25000</v>
      </c>
      <c r="F10" s="20">
        <v>24833.65</v>
      </c>
      <c r="G10" s="21">
        <v>1.9199999999999998E-2</v>
      </c>
      <c r="H10" s="22">
        <v>6.8870000000000001E-2</v>
      </c>
      <c r="I10" s="23"/>
    </row>
    <row r="11" spans="1:9" ht="12.9" customHeight="1">
      <c r="A11" s="17" t="s">
        <v>1322</v>
      </c>
      <c r="B11" s="18" t="s">
        <v>1323</v>
      </c>
      <c r="C11" s="14" t="s">
        <v>1324</v>
      </c>
      <c r="D11" s="14" t="s">
        <v>84</v>
      </c>
      <c r="E11" s="19">
        <v>21000000</v>
      </c>
      <c r="F11" s="20">
        <v>22102.457999999999</v>
      </c>
      <c r="G11" s="21">
        <v>1.7100000000000001E-2</v>
      </c>
      <c r="H11" s="22">
        <v>6.9440000000000002E-2</v>
      </c>
      <c r="I11" s="23"/>
    </row>
    <row r="12" spans="1:9" ht="12.9" customHeight="1">
      <c r="A12" s="17" t="s">
        <v>985</v>
      </c>
      <c r="B12" s="18" t="s">
        <v>986</v>
      </c>
      <c r="C12" s="14" t="s">
        <v>987</v>
      </c>
      <c r="D12" s="14" t="s">
        <v>109</v>
      </c>
      <c r="E12" s="19">
        <v>19000</v>
      </c>
      <c r="F12" s="20">
        <v>19184.907999999999</v>
      </c>
      <c r="G12" s="21">
        <v>1.49E-2</v>
      </c>
      <c r="H12" s="22">
        <v>7.1995000000000003E-2</v>
      </c>
      <c r="I12" s="23"/>
    </row>
    <row r="13" spans="1:9" ht="12.9" customHeight="1">
      <c r="A13" s="17" t="s">
        <v>385</v>
      </c>
      <c r="B13" s="18" t="s">
        <v>386</v>
      </c>
      <c r="C13" s="14" t="s">
        <v>387</v>
      </c>
      <c r="D13" s="14" t="s">
        <v>372</v>
      </c>
      <c r="E13" s="19">
        <v>18000</v>
      </c>
      <c r="F13" s="20">
        <v>18233.063999999998</v>
      </c>
      <c r="G13" s="21">
        <v>1.41E-2</v>
      </c>
      <c r="H13" s="22">
        <v>6.8699999999999997E-2</v>
      </c>
      <c r="I13" s="23"/>
    </row>
    <row r="14" spans="1:9" ht="12.9" customHeight="1">
      <c r="A14" s="17" t="s">
        <v>538</v>
      </c>
      <c r="B14" s="18" t="s">
        <v>539</v>
      </c>
      <c r="C14" s="14" t="s">
        <v>540</v>
      </c>
      <c r="D14" s="14" t="s">
        <v>109</v>
      </c>
      <c r="E14" s="19">
        <v>18000</v>
      </c>
      <c r="F14" s="20">
        <v>17942.885999999999</v>
      </c>
      <c r="G14" s="21">
        <v>1.3899999999999999E-2</v>
      </c>
      <c r="H14" s="22">
        <v>7.5274999999999995E-2</v>
      </c>
      <c r="I14" s="23"/>
    </row>
    <row r="15" spans="1:9" ht="12.9" customHeight="1">
      <c r="A15" s="17" t="s">
        <v>1546</v>
      </c>
      <c r="B15" s="18" t="s">
        <v>1547</v>
      </c>
      <c r="C15" s="14" t="s">
        <v>1548</v>
      </c>
      <c r="D15" s="14" t="s">
        <v>1545</v>
      </c>
      <c r="E15" s="19">
        <v>15750</v>
      </c>
      <c r="F15" s="20">
        <v>16740.722300000001</v>
      </c>
      <c r="G15" s="21">
        <v>1.2999999999999999E-2</v>
      </c>
      <c r="H15" s="22">
        <v>8.3376000000000006E-2</v>
      </c>
      <c r="I15" s="23"/>
    </row>
    <row r="16" spans="1:9" ht="12.9" customHeight="1">
      <c r="A16" s="17" t="s">
        <v>604</v>
      </c>
      <c r="B16" s="18" t="s">
        <v>605</v>
      </c>
      <c r="C16" s="14" t="s">
        <v>606</v>
      </c>
      <c r="D16" s="14" t="s">
        <v>109</v>
      </c>
      <c r="E16" s="19">
        <v>15400</v>
      </c>
      <c r="F16" s="20">
        <v>15616.9552</v>
      </c>
      <c r="G16" s="21">
        <v>1.21E-2</v>
      </c>
      <c r="H16" s="22">
        <v>6.8699999999999997E-2</v>
      </c>
      <c r="I16" s="23"/>
    </row>
    <row r="17" spans="1:9" ht="12.9" customHeight="1">
      <c r="A17" s="17" t="s">
        <v>892</v>
      </c>
      <c r="B17" s="18" t="s">
        <v>893</v>
      </c>
      <c r="C17" s="14" t="s">
        <v>894</v>
      </c>
      <c r="D17" s="14" t="s">
        <v>895</v>
      </c>
      <c r="E17" s="19">
        <v>15000</v>
      </c>
      <c r="F17" s="20">
        <v>15330.465</v>
      </c>
      <c r="G17" s="21">
        <v>1.1900000000000001E-2</v>
      </c>
      <c r="H17" s="22">
        <v>7.6499999999999999E-2</v>
      </c>
      <c r="I17" s="23"/>
    </row>
    <row r="18" spans="1:9" ht="12.9" customHeight="1">
      <c r="A18" s="17" t="s">
        <v>2555</v>
      </c>
      <c r="B18" s="18" t="s">
        <v>2556</v>
      </c>
      <c r="C18" s="14" t="s">
        <v>2557</v>
      </c>
      <c r="D18" s="14" t="s">
        <v>109</v>
      </c>
      <c r="E18" s="19">
        <v>15000</v>
      </c>
      <c r="F18" s="20">
        <v>15090.465</v>
      </c>
      <c r="G18" s="21">
        <v>1.17E-2</v>
      </c>
      <c r="H18" s="22">
        <v>6.7549999999999999E-2</v>
      </c>
      <c r="I18" s="23"/>
    </row>
    <row r="19" spans="1:9" ht="12.9" customHeight="1">
      <c r="A19" s="17" t="s">
        <v>397</v>
      </c>
      <c r="B19" s="18" t="s">
        <v>398</v>
      </c>
      <c r="C19" s="14" t="s">
        <v>399</v>
      </c>
      <c r="D19" s="14" t="s">
        <v>109</v>
      </c>
      <c r="E19" s="19">
        <v>15000</v>
      </c>
      <c r="F19" s="20">
        <v>15002.834999999999</v>
      </c>
      <c r="G19" s="21">
        <v>1.1599999999999999E-2</v>
      </c>
      <c r="H19" s="22">
        <v>7.0699999999999999E-2</v>
      </c>
      <c r="I19" s="23"/>
    </row>
    <row r="20" spans="1:9" ht="12.9" customHeight="1">
      <c r="A20" s="17" t="s">
        <v>580</v>
      </c>
      <c r="B20" s="18" t="s">
        <v>581</v>
      </c>
      <c r="C20" s="14" t="s">
        <v>582</v>
      </c>
      <c r="D20" s="14" t="s">
        <v>109</v>
      </c>
      <c r="E20" s="19">
        <v>12500</v>
      </c>
      <c r="F20" s="20">
        <v>12804.8125</v>
      </c>
      <c r="G20" s="21">
        <v>9.9000000000000008E-3</v>
      </c>
      <c r="H20" s="22">
        <v>7.2499999999999995E-2</v>
      </c>
      <c r="I20" s="23"/>
    </row>
    <row r="21" spans="1:9" ht="12.9" customHeight="1">
      <c r="A21" s="17" t="s">
        <v>1679</v>
      </c>
      <c r="B21" s="18" t="s">
        <v>1680</v>
      </c>
      <c r="C21" s="14" t="s">
        <v>1681</v>
      </c>
      <c r="D21" s="14" t="s">
        <v>109</v>
      </c>
      <c r="E21" s="19">
        <v>12500</v>
      </c>
      <c r="F21" s="20">
        <v>12739.0875</v>
      </c>
      <c r="G21" s="21">
        <v>9.9000000000000008E-3</v>
      </c>
      <c r="H21" s="22">
        <v>7.3700000000000002E-2</v>
      </c>
      <c r="I21" s="23"/>
    </row>
    <row r="22" spans="1:9" ht="12.9" customHeight="1">
      <c r="A22" s="17" t="s">
        <v>1083</v>
      </c>
      <c r="B22" s="18" t="s">
        <v>1084</v>
      </c>
      <c r="C22" s="14" t="s">
        <v>1085</v>
      </c>
      <c r="D22" s="14" t="s">
        <v>109</v>
      </c>
      <c r="E22" s="19">
        <v>1250</v>
      </c>
      <c r="F22" s="20">
        <v>12623.237499999999</v>
      </c>
      <c r="G22" s="21">
        <v>9.7999999999999997E-3</v>
      </c>
      <c r="H22" s="22">
        <v>7.1749999999999994E-2</v>
      </c>
      <c r="I22" s="23"/>
    </row>
    <row r="23" spans="1:9" ht="12.9" customHeight="1">
      <c r="A23" s="17" t="s">
        <v>400</v>
      </c>
      <c r="B23" s="18" t="s">
        <v>401</v>
      </c>
      <c r="C23" s="14" t="s">
        <v>402</v>
      </c>
      <c r="D23" s="14" t="s">
        <v>372</v>
      </c>
      <c r="E23" s="19">
        <v>12500</v>
      </c>
      <c r="F23" s="20">
        <v>12453.9625</v>
      </c>
      <c r="G23" s="21">
        <v>9.7000000000000003E-3</v>
      </c>
      <c r="H23" s="22">
        <v>6.8199999999999997E-2</v>
      </c>
      <c r="I23" s="23"/>
    </row>
    <row r="24" spans="1:9" ht="12.9" customHeight="1">
      <c r="A24" s="17" t="s">
        <v>1022</v>
      </c>
      <c r="B24" s="18" t="s">
        <v>1023</v>
      </c>
      <c r="C24" s="14" t="s">
        <v>1024</v>
      </c>
      <c r="D24" s="14" t="s">
        <v>1025</v>
      </c>
      <c r="E24" s="19">
        <v>12500</v>
      </c>
      <c r="F24" s="20">
        <v>12432.375</v>
      </c>
      <c r="G24" s="21">
        <v>9.5999999999999992E-3</v>
      </c>
      <c r="H24" s="22">
        <v>7.6246999999999995E-2</v>
      </c>
      <c r="I24" s="23"/>
    </row>
    <row r="25" spans="1:9" ht="12.9" customHeight="1">
      <c r="A25" s="17" t="s">
        <v>2558</v>
      </c>
      <c r="B25" s="18" t="s">
        <v>2559</v>
      </c>
      <c r="C25" s="14" t="s">
        <v>2560</v>
      </c>
      <c r="D25" s="14" t="s">
        <v>895</v>
      </c>
      <c r="E25" s="19">
        <v>11000</v>
      </c>
      <c r="F25" s="20">
        <v>11463.012000000001</v>
      </c>
      <c r="G25" s="21">
        <v>8.8999999999999999E-3</v>
      </c>
      <c r="H25" s="22">
        <v>7.7149999999999996E-2</v>
      </c>
      <c r="I25" s="23"/>
    </row>
    <row r="26" spans="1:9" ht="12.9" customHeight="1">
      <c r="A26" s="17" t="s">
        <v>341</v>
      </c>
      <c r="B26" s="18" t="s">
        <v>342</v>
      </c>
      <c r="C26" s="14" t="s">
        <v>343</v>
      </c>
      <c r="D26" s="14" t="s">
        <v>109</v>
      </c>
      <c r="E26" s="19">
        <v>11000</v>
      </c>
      <c r="F26" s="20">
        <v>11119.449000000001</v>
      </c>
      <c r="G26" s="21">
        <v>8.6E-3</v>
      </c>
      <c r="H26" s="22">
        <v>6.8699999999999997E-2</v>
      </c>
      <c r="I26" s="23"/>
    </row>
    <row r="27" spans="1:9" ht="12.9" customHeight="1">
      <c r="A27" s="17" t="s">
        <v>1478</v>
      </c>
      <c r="B27" s="18" t="s">
        <v>1479</v>
      </c>
      <c r="C27" s="14" t="s">
        <v>1480</v>
      </c>
      <c r="D27" s="14" t="s">
        <v>109</v>
      </c>
      <c r="E27" s="19">
        <v>10500</v>
      </c>
      <c r="F27" s="20">
        <v>10542.3675</v>
      </c>
      <c r="G27" s="21">
        <v>8.2000000000000007E-3</v>
      </c>
      <c r="H27" s="22">
        <v>6.7100000000000007E-2</v>
      </c>
      <c r="I27" s="23"/>
    </row>
    <row r="28" spans="1:9" ht="12.9" customHeight="1">
      <c r="A28" s="17" t="s">
        <v>529</v>
      </c>
      <c r="B28" s="18" t="s">
        <v>530</v>
      </c>
      <c r="C28" s="14" t="s">
        <v>531</v>
      </c>
      <c r="D28" s="14" t="s">
        <v>109</v>
      </c>
      <c r="E28" s="19">
        <v>10500</v>
      </c>
      <c r="F28" s="20">
        <v>10520.968500000001</v>
      </c>
      <c r="G28" s="21">
        <v>8.2000000000000007E-3</v>
      </c>
      <c r="H28" s="22">
        <v>7.1473999999999996E-2</v>
      </c>
      <c r="I28" s="23"/>
    </row>
    <row r="29" spans="1:9" ht="12.9" customHeight="1">
      <c r="A29" s="17" t="s">
        <v>607</v>
      </c>
      <c r="B29" s="18" t="s">
        <v>608</v>
      </c>
      <c r="C29" s="14" t="s">
        <v>609</v>
      </c>
      <c r="D29" s="14" t="s">
        <v>109</v>
      </c>
      <c r="E29" s="19">
        <v>10300</v>
      </c>
      <c r="F29" s="20">
        <v>10431.8091</v>
      </c>
      <c r="G29" s="21">
        <v>8.0999999999999996E-3</v>
      </c>
      <c r="H29" s="22">
        <v>6.8349999999999994E-2</v>
      </c>
      <c r="I29" s="23"/>
    </row>
    <row r="30" spans="1:9" ht="12.9" customHeight="1">
      <c r="A30" s="17" t="s">
        <v>1050</v>
      </c>
      <c r="B30" s="18" t="s">
        <v>1051</v>
      </c>
      <c r="C30" s="14" t="s">
        <v>1052</v>
      </c>
      <c r="D30" s="14" t="s">
        <v>109</v>
      </c>
      <c r="E30" s="19">
        <v>10000</v>
      </c>
      <c r="F30" s="20">
        <v>10249.129999999999</v>
      </c>
      <c r="G30" s="21">
        <v>7.9000000000000008E-3</v>
      </c>
      <c r="H30" s="22">
        <v>7.145E-2</v>
      </c>
      <c r="I30" s="23"/>
    </row>
    <row r="31" spans="1:9" ht="12.9" customHeight="1">
      <c r="A31" s="17" t="s">
        <v>382</v>
      </c>
      <c r="B31" s="18" t="s">
        <v>383</v>
      </c>
      <c r="C31" s="14" t="s">
        <v>384</v>
      </c>
      <c r="D31" s="14" t="s">
        <v>109</v>
      </c>
      <c r="E31" s="19">
        <v>10000</v>
      </c>
      <c r="F31" s="20">
        <v>10143.799999999999</v>
      </c>
      <c r="G31" s="21">
        <v>7.9000000000000008E-3</v>
      </c>
      <c r="H31" s="22">
        <v>6.88E-2</v>
      </c>
      <c r="I31" s="23"/>
    </row>
    <row r="32" spans="1:9" ht="12.9" customHeight="1">
      <c r="A32" s="17" t="s">
        <v>1413</v>
      </c>
      <c r="B32" s="18" t="s">
        <v>1414</v>
      </c>
      <c r="C32" s="14" t="s">
        <v>1415</v>
      </c>
      <c r="D32" s="14" t="s">
        <v>895</v>
      </c>
      <c r="E32" s="19">
        <v>10000</v>
      </c>
      <c r="F32" s="20">
        <v>10133.290000000001</v>
      </c>
      <c r="G32" s="21">
        <v>7.9000000000000008E-3</v>
      </c>
      <c r="H32" s="22">
        <v>7.8325000000000006E-2</v>
      </c>
      <c r="I32" s="23"/>
    </row>
    <row r="33" spans="1:9" ht="12.9" customHeight="1">
      <c r="A33" s="17" t="s">
        <v>418</v>
      </c>
      <c r="B33" s="18" t="s">
        <v>419</v>
      </c>
      <c r="C33" s="14" t="s">
        <v>420</v>
      </c>
      <c r="D33" s="14" t="s">
        <v>109</v>
      </c>
      <c r="E33" s="19">
        <v>10000</v>
      </c>
      <c r="F33" s="20">
        <v>10128.290000000001</v>
      </c>
      <c r="G33" s="21">
        <v>7.9000000000000008E-3</v>
      </c>
      <c r="H33" s="22">
        <v>6.8349999999999994E-2</v>
      </c>
      <c r="I33" s="23"/>
    </row>
    <row r="34" spans="1:9" ht="12.9" customHeight="1">
      <c r="A34" s="17" t="s">
        <v>2561</v>
      </c>
      <c r="B34" s="18" t="s">
        <v>2562</v>
      </c>
      <c r="C34" s="14" t="s">
        <v>2563</v>
      </c>
      <c r="D34" s="14" t="s">
        <v>109</v>
      </c>
      <c r="E34" s="19">
        <v>10000</v>
      </c>
      <c r="F34" s="20">
        <v>10120.92</v>
      </c>
      <c r="G34" s="21">
        <v>7.7999999999999996E-3</v>
      </c>
      <c r="H34" s="22">
        <v>6.8349999999999994E-2</v>
      </c>
      <c r="I34" s="23"/>
    </row>
    <row r="35" spans="1:9" ht="12.9" customHeight="1">
      <c r="A35" s="17" t="s">
        <v>906</v>
      </c>
      <c r="B35" s="18" t="s">
        <v>907</v>
      </c>
      <c r="C35" s="14" t="s">
        <v>908</v>
      </c>
      <c r="D35" s="14" t="s">
        <v>895</v>
      </c>
      <c r="E35" s="19">
        <v>10000</v>
      </c>
      <c r="F35" s="20">
        <v>10080.200000000001</v>
      </c>
      <c r="G35" s="21">
        <v>7.7999999999999996E-3</v>
      </c>
      <c r="H35" s="22">
        <v>7.9899999999999999E-2</v>
      </c>
      <c r="I35" s="23"/>
    </row>
    <row r="36" spans="1:9" ht="12.9" customHeight="1">
      <c r="A36" s="17" t="s">
        <v>2564</v>
      </c>
      <c r="B36" s="18" t="s">
        <v>2565</v>
      </c>
      <c r="C36" s="14" t="s">
        <v>2566</v>
      </c>
      <c r="D36" s="14" t="s">
        <v>109</v>
      </c>
      <c r="E36" s="19">
        <v>10000</v>
      </c>
      <c r="F36" s="20">
        <v>10052.68</v>
      </c>
      <c r="G36" s="21">
        <v>7.7999999999999996E-3</v>
      </c>
      <c r="H36" s="22">
        <v>6.7100000000000007E-2</v>
      </c>
      <c r="I36" s="23"/>
    </row>
    <row r="37" spans="1:9" ht="12.9" customHeight="1">
      <c r="A37" s="17" t="s">
        <v>2567</v>
      </c>
      <c r="B37" s="18" t="s">
        <v>2568</v>
      </c>
      <c r="C37" s="14" t="s">
        <v>2569</v>
      </c>
      <c r="D37" s="14" t="s">
        <v>1545</v>
      </c>
      <c r="E37" s="19">
        <v>10000</v>
      </c>
      <c r="F37" s="20">
        <v>10035.6</v>
      </c>
      <c r="G37" s="21">
        <v>7.7999999999999996E-3</v>
      </c>
      <c r="H37" s="22">
        <v>7.8549999999999995E-2</v>
      </c>
      <c r="I37" s="23"/>
    </row>
    <row r="38" spans="1:9" ht="12.9" customHeight="1">
      <c r="A38" s="17" t="s">
        <v>2570</v>
      </c>
      <c r="B38" s="18" t="s">
        <v>2571</v>
      </c>
      <c r="C38" s="14" t="s">
        <v>2572</v>
      </c>
      <c r="D38" s="14" t="s">
        <v>372</v>
      </c>
      <c r="E38" s="19">
        <v>10000</v>
      </c>
      <c r="F38" s="20">
        <v>10026.91</v>
      </c>
      <c r="G38" s="21">
        <v>7.7999999999999996E-3</v>
      </c>
      <c r="H38" s="22">
        <v>7.22E-2</v>
      </c>
      <c r="I38" s="23"/>
    </row>
    <row r="39" spans="1:9" ht="12.9" customHeight="1">
      <c r="A39" s="17" t="s">
        <v>2573</v>
      </c>
      <c r="B39" s="18" t="s">
        <v>2574</v>
      </c>
      <c r="C39" s="14" t="s">
        <v>2575</v>
      </c>
      <c r="D39" s="14" t="s">
        <v>1545</v>
      </c>
      <c r="E39" s="19">
        <v>10000</v>
      </c>
      <c r="F39" s="20">
        <v>10014.790000000001</v>
      </c>
      <c r="G39" s="21">
        <v>7.7999999999999996E-3</v>
      </c>
      <c r="H39" s="22">
        <v>7.9450000000000007E-2</v>
      </c>
      <c r="I39" s="23"/>
    </row>
    <row r="40" spans="1:9" ht="12.9" customHeight="1">
      <c r="A40" s="17" t="s">
        <v>998</v>
      </c>
      <c r="B40" s="18" t="s">
        <v>999</v>
      </c>
      <c r="C40" s="14" t="s">
        <v>1000</v>
      </c>
      <c r="D40" s="14" t="s">
        <v>109</v>
      </c>
      <c r="E40" s="19">
        <v>10000</v>
      </c>
      <c r="F40" s="20">
        <v>9981.33</v>
      </c>
      <c r="G40" s="21">
        <v>7.7000000000000002E-3</v>
      </c>
      <c r="H40" s="22">
        <v>6.8250000000000005E-2</v>
      </c>
      <c r="I40" s="23"/>
    </row>
    <row r="41" spans="1:9" ht="12.9" customHeight="1">
      <c r="A41" s="17" t="s">
        <v>976</v>
      </c>
      <c r="B41" s="18" t="s">
        <v>977</v>
      </c>
      <c r="C41" s="14" t="s">
        <v>978</v>
      </c>
      <c r="D41" s="14" t="s">
        <v>109</v>
      </c>
      <c r="E41" s="19">
        <v>10000</v>
      </c>
      <c r="F41" s="20">
        <v>9970.7099999999991</v>
      </c>
      <c r="G41" s="21">
        <v>7.7000000000000002E-3</v>
      </c>
      <c r="H41" s="22">
        <v>7.1275000000000005E-2</v>
      </c>
      <c r="I41" s="23"/>
    </row>
    <row r="42" spans="1:9" ht="12.9" customHeight="1">
      <c r="A42" s="17" t="s">
        <v>544</v>
      </c>
      <c r="B42" s="18" t="s">
        <v>545</v>
      </c>
      <c r="C42" s="14" t="s">
        <v>546</v>
      </c>
      <c r="D42" s="14" t="s">
        <v>372</v>
      </c>
      <c r="E42" s="19">
        <v>10000</v>
      </c>
      <c r="F42" s="20">
        <v>9935.84</v>
      </c>
      <c r="G42" s="21">
        <v>7.7000000000000002E-3</v>
      </c>
      <c r="H42" s="22">
        <v>6.905E-2</v>
      </c>
      <c r="I42" s="23"/>
    </row>
    <row r="43" spans="1:9" ht="12.9" customHeight="1">
      <c r="A43" s="17" t="s">
        <v>2576</v>
      </c>
      <c r="B43" s="18" t="s">
        <v>2577</v>
      </c>
      <c r="C43" s="14" t="s">
        <v>2578</v>
      </c>
      <c r="D43" s="14" t="s">
        <v>109</v>
      </c>
      <c r="E43" s="19">
        <v>10000</v>
      </c>
      <c r="F43" s="20">
        <v>9915.94</v>
      </c>
      <c r="G43" s="21">
        <v>7.7000000000000002E-3</v>
      </c>
      <c r="H43" s="22">
        <v>6.8250000000000005E-2</v>
      </c>
      <c r="I43" s="23"/>
    </row>
    <row r="44" spans="1:9" ht="12.9" customHeight="1">
      <c r="A44" s="17" t="s">
        <v>1173</v>
      </c>
      <c r="B44" s="18" t="s">
        <v>1174</v>
      </c>
      <c r="C44" s="14" t="s">
        <v>1175</v>
      </c>
      <c r="D44" s="14" t="s">
        <v>84</v>
      </c>
      <c r="E44" s="19">
        <v>9823500</v>
      </c>
      <c r="F44" s="20">
        <v>9641.7554</v>
      </c>
      <c r="G44" s="21">
        <v>7.4999999999999997E-3</v>
      </c>
      <c r="H44" s="22">
        <v>6.7049999999999998E-2</v>
      </c>
      <c r="I44" s="23"/>
    </row>
    <row r="45" spans="1:9" ht="12.9" customHeight="1">
      <c r="A45" s="17" t="s">
        <v>1670</v>
      </c>
      <c r="B45" s="18" t="s">
        <v>1671</v>
      </c>
      <c r="C45" s="14" t="s">
        <v>1672</v>
      </c>
      <c r="D45" s="14" t="s">
        <v>895</v>
      </c>
      <c r="E45" s="19">
        <v>9500</v>
      </c>
      <c r="F45" s="20">
        <v>9624.64</v>
      </c>
      <c r="G45" s="21">
        <v>7.4999999999999997E-3</v>
      </c>
      <c r="H45" s="22">
        <v>7.7449000000000004E-2</v>
      </c>
      <c r="I45" s="23"/>
    </row>
    <row r="46" spans="1:9" ht="12.9" customHeight="1">
      <c r="A46" s="17" t="s">
        <v>1080</v>
      </c>
      <c r="B46" s="18" t="s">
        <v>1081</v>
      </c>
      <c r="C46" s="14" t="s">
        <v>1082</v>
      </c>
      <c r="D46" s="14" t="s">
        <v>109</v>
      </c>
      <c r="E46" s="19">
        <v>9500</v>
      </c>
      <c r="F46" s="20">
        <v>9613.5535</v>
      </c>
      <c r="G46" s="21">
        <v>7.4999999999999997E-3</v>
      </c>
      <c r="H46" s="22">
        <v>7.3056999999999997E-2</v>
      </c>
      <c r="I46" s="23"/>
    </row>
    <row r="47" spans="1:9" ht="12.9" customHeight="1">
      <c r="A47" s="17" t="s">
        <v>634</v>
      </c>
      <c r="B47" s="18" t="s">
        <v>635</v>
      </c>
      <c r="C47" s="14" t="s">
        <v>636</v>
      </c>
      <c r="D47" s="14" t="s">
        <v>109</v>
      </c>
      <c r="E47" s="19">
        <v>9500</v>
      </c>
      <c r="F47" s="20">
        <v>9513.2620000000006</v>
      </c>
      <c r="G47" s="21">
        <v>7.4000000000000003E-3</v>
      </c>
      <c r="H47" s="22">
        <v>7.22E-2</v>
      </c>
      <c r="I47" s="23"/>
    </row>
    <row r="48" spans="1:9" ht="12.9" customHeight="1">
      <c r="A48" s="17" t="s">
        <v>1703</v>
      </c>
      <c r="B48" s="18" t="s">
        <v>1704</v>
      </c>
      <c r="C48" s="14" t="s">
        <v>1705</v>
      </c>
      <c r="D48" s="14" t="s">
        <v>109</v>
      </c>
      <c r="E48" s="19">
        <v>9500</v>
      </c>
      <c r="F48" s="20">
        <v>9500</v>
      </c>
      <c r="G48" s="21">
        <v>7.4000000000000003E-3</v>
      </c>
      <c r="H48" s="22">
        <v>5.6800000000000003E-2</v>
      </c>
      <c r="I48" s="23"/>
    </row>
    <row r="49" spans="1:9" ht="12.9" customHeight="1">
      <c r="A49" s="17" t="s">
        <v>1098</v>
      </c>
      <c r="B49" s="18" t="s">
        <v>1099</v>
      </c>
      <c r="C49" s="14" t="s">
        <v>1100</v>
      </c>
      <c r="D49" s="14" t="s">
        <v>109</v>
      </c>
      <c r="E49" s="19">
        <v>9000</v>
      </c>
      <c r="F49" s="20">
        <v>9100.7549999999992</v>
      </c>
      <c r="G49" s="21">
        <v>7.1000000000000004E-3</v>
      </c>
      <c r="H49" s="22">
        <v>7.0400000000000004E-2</v>
      </c>
      <c r="I49" s="23"/>
    </row>
    <row r="50" spans="1:9" ht="12.9" customHeight="1">
      <c r="A50" s="17" t="s">
        <v>1552</v>
      </c>
      <c r="B50" s="18" t="s">
        <v>1553</v>
      </c>
      <c r="C50" s="14" t="s">
        <v>1554</v>
      </c>
      <c r="D50" s="14" t="s">
        <v>895</v>
      </c>
      <c r="E50" s="19">
        <v>8500</v>
      </c>
      <c r="F50" s="20">
        <v>8618.7024999999994</v>
      </c>
      <c r="G50" s="21">
        <v>6.7000000000000002E-3</v>
      </c>
      <c r="H50" s="22">
        <v>7.8325000000000006E-2</v>
      </c>
      <c r="I50" s="23"/>
    </row>
    <row r="51" spans="1:9" ht="12.9" customHeight="1">
      <c r="A51" s="17" t="s">
        <v>1542</v>
      </c>
      <c r="B51" s="18" t="s">
        <v>1543</v>
      </c>
      <c r="C51" s="14" t="s">
        <v>1544</v>
      </c>
      <c r="D51" s="14" t="s">
        <v>1545</v>
      </c>
      <c r="E51" s="19">
        <v>7750</v>
      </c>
      <c r="F51" s="20">
        <v>8263.9258000000009</v>
      </c>
      <c r="G51" s="21">
        <v>6.4000000000000003E-3</v>
      </c>
      <c r="H51" s="22">
        <v>8.3776000000000003E-2</v>
      </c>
      <c r="I51" s="23"/>
    </row>
    <row r="52" spans="1:9" ht="12.9" customHeight="1">
      <c r="A52" s="17" t="s">
        <v>2579</v>
      </c>
      <c r="B52" s="18" t="s">
        <v>2580</v>
      </c>
      <c r="C52" s="14" t="s">
        <v>2581</v>
      </c>
      <c r="D52" s="14" t="s">
        <v>109</v>
      </c>
      <c r="E52" s="19">
        <v>8000</v>
      </c>
      <c r="F52" s="20">
        <v>7989.4480000000003</v>
      </c>
      <c r="G52" s="21">
        <v>6.1999999999999998E-3</v>
      </c>
      <c r="H52" s="22">
        <v>7.4075000000000002E-2</v>
      </c>
      <c r="I52" s="23"/>
    </row>
    <row r="53" spans="1:9" ht="12.9" customHeight="1">
      <c r="A53" s="17" t="s">
        <v>673</v>
      </c>
      <c r="B53" s="18" t="s">
        <v>674</v>
      </c>
      <c r="C53" s="14" t="s">
        <v>675</v>
      </c>
      <c r="D53" s="14" t="s">
        <v>109</v>
      </c>
      <c r="E53" s="19">
        <v>7500</v>
      </c>
      <c r="F53" s="20">
        <v>7670.67</v>
      </c>
      <c r="G53" s="21">
        <v>5.8999999999999999E-3</v>
      </c>
      <c r="H53" s="22">
        <v>7.1349999999999997E-2</v>
      </c>
      <c r="I53" s="23"/>
    </row>
    <row r="54" spans="1:9" ht="12.9" customHeight="1">
      <c r="A54" s="17" t="s">
        <v>2582</v>
      </c>
      <c r="B54" s="18" t="s">
        <v>2583</v>
      </c>
      <c r="C54" s="14" t="s">
        <v>2584</v>
      </c>
      <c r="D54" s="14" t="s">
        <v>1448</v>
      </c>
      <c r="E54" s="19">
        <v>7500</v>
      </c>
      <c r="F54" s="20">
        <v>7628.2650000000003</v>
      </c>
      <c r="G54" s="21">
        <v>5.8999999999999999E-3</v>
      </c>
      <c r="H54" s="22">
        <v>7.4901999999999996E-2</v>
      </c>
      <c r="I54" s="23"/>
    </row>
    <row r="55" spans="1:9" ht="12.9" customHeight="1">
      <c r="A55" s="17" t="s">
        <v>2585</v>
      </c>
      <c r="B55" s="18" t="s">
        <v>2586</v>
      </c>
      <c r="C55" s="14" t="s">
        <v>2587</v>
      </c>
      <c r="D55" s="14" t="s">
        <v>1437</v>
      </c>
      <c r="E55" s="19">
        <v>7500</v>
      </c>
      <c r="F55" s="20">
        <v>7610.2574999999997</v>
      </c>
      <c r="G55" s="21">
        <v>5.8999999999999999E-3</v>
      </c>
      <c r="H55" s="22">
        <v>7.7174999999999994E-2</v>
      </c>
      <c r="I55" s="23"/>
    </row>
    <row r="56" spans="1:9" ht="12.9" customHeight="1">
      <c r="A56" s="17" t="s">
        <v>409</v>
      </c>
      <c r="B56" s="18" t="s">
        <v>410</v>
      </c>
      <c r="C56" s="14" t="s">
        <v>411</v>
      </c>
      <c r="D56" s="14" t="s">
        <v>372</v>
      </c>
      <c r="E56" s="19">
        <v>7500</v>
      </c>
      <c r="F56" s="20">
        <v>7601.4825000000001</v>
      </c>
      <c r="G56" s="21">
        <v>5.8999999999999999E-3</v>
      </c>
      <c r="H56" s="22">
        <v>6.8449999999999997E-2</v>
      </c>
      <c r="I56" s="23"/>
    </row>
    <row r="57" spans="1:9" ht="12.9" customHeight="1">
      <c r="A57" s="17" t="s">
        <v>1059</v>
      </c>
      <c r="B57" s="18" t="s">
        <v>1060</v>
      </c>
      <c r="C57" s="14" t="s">
        <v>1061</v>
      </c>
      <c r="D57" s="14" t="s">
        <v>109</v>
      </c>
      <c r="E57" s="19">
        <v>7500</v>
      </c>
      <c r="F57" s="20">
        <v>7596.6750000000002</v>
      </c>
      <c r="G57" s="21">
        <v>5.8999999999999999E-3</v>
      </c>
      <c r="H57" s="22">
        <v>6.8870000000000001E-2</v>
      </c>
      <c r="I57" s="23"/>
    </row>
    <row r="58" spans="1:9" ht="12.9" customHeight="1">
      <c r="A58" s="17" t="s">
        <v>2588</v>
      </c>
      <c r="B58" s="18" t="s">
        <v>2589</v>
      </c>
      <c r="C58" s="14" t="s">
        <v>2590</v>
      </c>
      <c r="D58" s="14" t="s">
        <v>109</v>
      </c>
      <c r="E58" s="19">
        <v>7500</v>
      </c>
      <c r="F58" s="20">
        <v>7582.7924999999996</v>
      </c>
      <c r="G58" s="21">
        <v>5.8999999999999999E-3</v>
      </c>
      <c r="H58" s="22">
        <v>7.0849999999999996E-2</v>
      </c>
      <c r="I58" s="23"/>
    </row>
    <row r="59" spans="1:9" ht="12.9" customHeight="1">
      <c r="A59" s="17" t="s">
        <v>469</v>
      </c>
      <c r="B59" s="18" t="s">
        <v>470</v>
      </c>
      <c r="C59" s="14" t="s">
        <v>471</v>
      </c>
      <c r="D59" s="14" t="s">
        <v>109</v>
      </c>
      <c r="E59" s="19">
        <v>750</v>
      </c>
      <c r="F59" s="20">
        <v>7577.2574999999997</v>
      </c>
      <c r="G59" s="21">
        <v>5.8999999999999999E-3</v>
      </c>
      <c r="H59" s="22">
        <v>7.0699999999999999E-2</v>
      </c>
      <c r="I59" s="23"/>
    </row>
    <row r="60" spans="1:9" ht="12.9" customHeight="1">
      <c r="A60" s="17" t="s">
        <v>1428</v>
      </c>
      <c r="B60" s="18" t="s">
        <v>1429</v>
      </c>
      <c r="C60" s="14" t="s">
        <v>1430</v>
      </c>
      <c r="D60" s="14" t="s">
        <v>895</v>
      </c>
      <c r="E60" s="19">
        <v>7500</v>
      </c>
      <c r="F60" s="20">
        <v>7570.9274999999998</v>
      </c>
      <c r="G60" s="21">
        <v>5.8999999999999999E-3</v>
      </c>
      <c r="H60" s="22">
        <v>7.6249999999999998E-2</v>
      </c>
      <c r="I60" s="23"/>
    </row>
    <row r="61" spans="1:9" ht="12.9" customHeight="1">
      <c r="A61" s="17" t="s">
        <v>457</v>
      </c>
      <c r="B61" s="18" t="s">
        <v>458</v>
      </c>
      <c r="C61" s="14" t="s">
        <v>459</v>
      </c>
      <c r="D61" s="14" t="s">
        <v>109</v>
      </c>
      <c r="E61" s="19">
        <v>7500</v>
      </c>
      <c r="F61" s="20">
        <v>7551.585</v>
      </c>
      <c r="G61" s="21">
        <v>5.8999999999999999E-3</v>
      </c>
      <c r="H61" s="22">
        <v>7.1197999999999997E-2</v>
      </c>
      <c r="I61" s="23"/>
    </row>
    <row r="62" spans="1:9" ht="12.9" customHeight="1">
      <c r="A62" s="17" t="s">
        <v>1469</v>
      </c>
      <c r="B62" s="18" t="s">
        <v>1470</v>
      </c>
      <c r="C62" s="14" t="s">
        <v>1471</v>
      </c>
      <c r="D62" s="14" t="s">
        <v>109</v>
      </c>
      <c r="E62" s="19">
        <v>7500</v>
      </c>
      <c r="F62" s="20">
        <v>7529.0474999999997</v>
      </c>
      <c r="G62" s="21">
        <v>5.7999999999999996E-3</v>
      </c>
      <c r="H62" s="22">
        <v>6.7100000000000007E-2</v>
      </c>
      <c r="I62" s="23"/>
    </row>
    <row r="63" spans="1:9" ht="12.9" customHeight="1">
      <c r="A63" s="17" t="s">
        <v>379</v>
      </c>
      <c r="B63" s="18" t="s">
        <v>380</v>
      </c>
      <c r="C63" s="14" t="s">
        <v>381</v>
      </c>
      <c r="D63" s="14" t="s">
        <v>109</v>
      </c>
      <c r="E63" s="19">
        <v>7500</v>
      </c>
      <c r="F63" s="20">
        <v>7449.9449999999997</v>
      </c>
      <c r="G63" s="21">
        <v>5.7999999999999996E-3</v>
      </c>
      <c r="H63" s="22">
        <v>6.9180000000000005E-2</v>
      </c>
      <c r="I63" s="23"/>
    </row>
    <row r="64" spans="1:9" ht="12.9" customHeight="1">
      <c r="A64" s="17" t="s">
        <v>332</v>
      </c>
      <c r="B64" s="18" t="s">
        <v>333</v>
      </c>
      <c r="C64" s="14" t="s">
        <v>334</v>
      </c>
      <c r="D64" s="14" t="s">
        <v>84</v>
      </c>
      <c r="E64" s="19">
        <v>7000000</v>
      </c>
      <c r="F64" s="20">
        <v>7222.6139999999996</v>
      </c>
      <c r="G64" s="21">
        <v>5.5999999999999999E-3</v>
      </c>
      <c r="H64" s="22">
        <v>6.7517999999999995E-2</v>
      </c>
      <c r="I64" s="23"/>
    </row>
    <row r="65" spans="1:9" ht="12.9" customHeight="1">
      <c r="A65" s="17" t="s">
        <v>1661</v>
      </c>
      <c r="B65" s="18" t="s">
        <v>1662</v>
      </c>
      <c r="C65" s="14" t="s">
        <v>1663</v>
      </c>
      <c r="D65" s="14" t="s">
        <v>109</v>
      </c>
      <c r="E65" s="19">
        <v>7000</v>
      </c>
      <c r="F65" s="20">
        <v>7183.9250000000002</v>
      </c>
      <c r="G65" s="21">
        <v>5.5999999999999999E-3</v>
      </c>
      <c r="H65" s="22">
        <v>7.3058999999999999E-2</v>
      </c>
      <c r="I65" s="23"/>
    </row>
    <row r="66" spans="1:9" ht="12.9" customHeight="1">
      <c r="A66" s="17" t="s">
        <v>613</v>
      </c>
      <c r="B66" s="18" t="s">
        <v>614</v>
      </c>
      <c r="C66" s="14" t="s">
        <v>615</v>
      </c>
      <c r="D66" s="14" t="s">
        <v>109</v>
      </c>
      <c r="E66" s="19">
        <v>7000</v>
      </c>
      <c r="F66" s="20">
        <v>7082.9709999999995</v>
      </c>
      <c r="G66" s="21">
        <v>5.4999999999999997E-3</v>
      </c>
      <c r="H66" s="22">
        <v>7.2999999999999995E-2</v>
      </c>
      <c r="I66" s="23"/>
    </row>
    <row r="67" spans="1:9" ht="12.9" customHeight="1">
      <c r="A67" s="17" t="s">
        <v>1019</v>
      </c>
      <c r="B67" s="18" t="s">
        <v>1020</v>
      </c>
      <c r="C67" s="14" t="s">
        <v>1021</v>
      </c>
      <c r="D67" s="14" t="s">
        <v>109</v>
      </c>
      <c r="E67" s="19">
        <v>7000</v>
      </c>
      <c r="F67" s="20">
        <v>7013.6360000000004</v>
      </c>
      <c r="G67" s="21">
        <v>5.4000000000000003E-3</v>
      </c>
      <c r="H67" s="22">
        <v>7.3748999999999995E-2</v>
      </c>
      <c r="I67" s="23"/>
    </row>
    <row r="68" spans="1:9" ht="12.9" customHeight="1">
      <c r="A68" s="17" t="s">
        <v>1035</v>
      </c>
      <c r="B68" s="18" t="s">
        <v>1036</v>
      </c>
      <c r="C68" s="14" t="s">
        <v>1037</v>
      </c>
      <c r="D68" s="14" t="s">
        <v>84</v>
      </c>
      <c r="E68" s="19">
        <v>6500000</v>
      </c>
      <c r="F68" s="20">
        <v>6523.2635</v>
      </c>
      <c r="G68" s="21">
        <v>5.1000000000000004E-3</v>
      </c>
      <c r="H68" s="22">
        <v>7.5925999999999993E-2</v>
      </c>
      <c r="I68" s="23"/>
    </row>
    <row r="69" spans="1:9" ht="12.9" customHeight="1">
      <c r="A69" s="17" t="s">
        <v>2591</v>
      </c>
      <c r="B69" s="18" t="s">
        <v>2592</v>
      </c>
      <c r="C69" s="14" t="s">
        <v>2593</v>
      </c>
      <c r="D69" s="14" t="s">
        <v>372</v>
      </c>
      <c r="E69" s="19">
        <v>6400</v>
      </c>
      <c r="F69" s="20">
        <v>6489.9008000000003</v>
      </c>
      <c r="G69" s="21">
        <v>5.0000000000000001E-3</v>
      </c>
      <c r="H69" s="22">
        <v>7.1999999999999995E-2</v>
      </c>
      <c r="I69" s="23"/>
    </row>
    <row r="70" spans="1:9" ht="12.9" customHeight="1">
      <c r="A70" s="17" t="s">
        <v>1038</v>
      </c>
      <c r="B70" s="18" t="s">
        <v>1039</v>
      </c>
      <c r="C70" s="14" t="s">
        <v>1040</v>
      </c>
      <c r="D70" s="14" t="s">
        <v>109</v>
      </c>
      <c r="E70" s="19">
        <v>6000</v>
      </c>
      <c r="F70" s="20">
        <v>5997.93</v>
      </c>
      <c r="G70" s="21">
        <v>4.5999999999999999E-3</v>
      </c>
      <c r="H70" s="22">
        <v>7.3138999999999996E-2</v>
      </c>
      <c r="I70" s="23"/>
    </row>
    <row r="71" spans="1:9" ht="12.9" customHeight="1">
      <c r="A71" s="17" t="s">
        <v>1001</v>
      </c>
      <c r="B71" s="18" t="s">
        <v>1002</v>
      </c>
      <c r="C71" s="14" t="s">
        <v>1003</v>
      </c>
      <c r="D71" s="14" t="s">
        <v>109</v>
      </c>
      <c r="E71" s="19">
        <v>5606</v>
      </c>
      <c r="F71" s="20">
        <v>5588.2963</v>
      </c>
      <c r="G71" s="21">
        <v>4.3E-3</v>
      </c>
      <c r="H71" s="22">
        <v>7.3970499999999995E-2</v>
      </c>
      <c r="I71" s="23"/>
    </row>
    <row r="72" spans="1:9" ht="12.9" customHeight="1">
      <c r="A72" s="17" t="s">
        <v>2594</v>
      </c>
      <c r="B72" s="18" t="s">
        <v>2595</v>
      </c>
      <c r="C72" s="14" t="s">
        <v>2596</v>
      </c>
      <c r="D72" s="14" t="s">
        <v>109</v>
      </c>
      <c r="E72" s="19">
        <v>5500</v>
      </c>
      <c r="F72" s="20">
        <v>5525.201</v>
      </c>
      <c r="G72" s="21">
        <v>4.3E-3</v>
      </c>
      <c r="H72" s="22">
        <v>7.0486999999999994E-2</v>
      </c>
      <c r="I72" s="23"/>
    </row>
    <row r="73" spans="1:9" ht="12.9" customHeight="1">
      <c r="A73" s="17" t="s">
        <v>1032</v>
      </c>
      <c r="B73" s="18" t="s">
        <v>1033</v>
      </c>
      <c r="C73" s="14" t="s">
        <v>1034</v>
      </c>
      <c r="D73" s="14" t="s">
        <v>109</v>
      </c>
      <c r="E73" s="19">
        <v>500</v>
      </c>
      <c r="F73" s="20">
        <v>5223.7349999999997</v>
      </c>
      <c r="G73" s="21">
        <v>4.0000000000000001E-3</v>
      </c>
      <c r="H73" s="22">
        <v>6.9400000000000003E-2</v>
      </c>
      <c r="I73" s="23"/>
    </row>
    <row r="74" spans="1:9" ht="12.9" customHeight="1">
      <c r="A74" s="17" t="s">
        <v>1648</v>
      </c>
      <c r="B74" s="18" t="s">
        <v>1649</v>
      </c>
      <c r="C74" s="14" t="s">
        <v>1650</v>
      </c>
      <c r="D74" s="14" t="s">
        <v>1545</v>
      </c>
      <c r="E74" s="19">
        <v>5000</v>
      </c>
      <c r="F74" s="20">
        <v>5139.7849999999999</v>
      </c>
      <c r="G74" s="21">
        <v>4.0000000000000001E-3</v>
      </c>
      <c r="H74" s="22">
        <v>8.1049999999999997E-2</v>
      </c>
      <c r="I74" s="23"/>
    </row>
    <row r="75" spans="1:9" ht="12.9" customHeight="1">
      <c r="A75" s="17" t="s">
        <v>995</v>
      </c>
      <c r="B75" s="18" t="s">
        <v>996</v>
      </c>
      <c r="C75" s="14" t="s">
        <v>997</v>
      </c>
      <c r="D75" s="14" t="s">
        <v>109</v>
      </c>
      <c r="E75" s="19">
        <v>5000</v>
      </c>
      <c r="F75" s="20">
        <v>5107.0950000000003</v>
      </c>
      <c r="G75" s="21">
        <v>4.0000000000000001E-3</v>
      </c>
      <c r="H75" s="22">
        <v>7.3208999999999996E-2</v>
      </c>
      <c r="I75" s="23"/>
    </row>
    <row r="76" spans="1:9" ht="12.9" customHeight="1">
      <c r="A76" s="17" t="s">
        <v>487</v>
      </c>
      <c r="B76" s="18" t="s">
        <v>488</v>
      </c>
      <c r="C76" s="14" t="s">
        <v>489</v>
      </c>
      <c r="D76" s="14" t="s">
        <v>109</v>
      </c>
      <c r="E76" s="19">
        <v>500</v>
      </c>
      <c r="F76" s="20">
        <v>5098.79</v>
      </c>
      <c r="G76" s="21">
        <v>4.0000000000000001E-3</v>
      </c>
      <c r="H76" s="22">
        <v>7.3907E-2</v>
      </c>
      <c r="I76" s="23"/>
    </row>
    <row r="77" spans="1:9" ht="12.9" customHeight="1">
      <c r="A77" s="17" t="s">
        <v>2597</v>
      </c>
      <c r="B77" s="18" t="s">
        <v>2598</v>
      </c>
      <c r="C77" s="14" t="s">
        <v>2599</v>
      </c>
      <c r="D77" s="14" t="s">
        <v>895</v>
      </c>
      <c r="E77" s="19">
        <v>5000</v>
      </c>
      <c r="F77" s="20">
        <v>5078.6099999999997</v>
      </c>
      <c r="G77" s="21">
        <v>3.8999999999999998E-3</v>
      </c>
      <c r="H77" s="22">
        <v>7.8E-2</v>
      </c>
      <c r="I77" s="23"/>
    </row>
    <row r="78" spans="1:9" ht="12.9" customHeight="1">
      <c r="A78" s="17" t="s">
        <v>2600</v>
      </c>
      <c r="B78" s="18" t="s">
        <v>2601</v>
      </c>
      <c r="C78" s="14" t="s">
        <v>2602</v>
      </c>
      <c r="D78" s="14" t="s">
        <v>895</v>
      </c>
      <c r="E78" s="19">
        <v>5000</v>
      </c>
      <c r="F78" s="20">
        <v>5075.8950000000004</v>
      </c>
      <c r="G78" s="21">
        <v>3.8999999999999998E-3</v>
      </c>
      <c r="H78" s="22">
        <v>7.8E-2</v>
      </c>
      <c r="I78" s="23"/>
    </row>
    <row r="79" spans="1:9" ht="12.9" customHeight="1">
      <c r="A79" s="17" t="s">
        <v>445</v>
      </c>
      <c r="B79" s="18" t="s">
        <v>446</v>
      </c>
      <c r="C79" s="14" t="s">
        <v>447</v>
      </c>
      <c r="D79" s="14" t="s">
        <v>109</v>
      </c>
      <c r="E79" s="19">
        <v>5000</v>
      </c>
      <c r="F79" s="20">
        <v>5067.54</v>
      </c>
      <c r="G79" s="21">
        <v>3.8999999999999998E-3</v>
      </c>
      <c r="H79" s="22">
        <v>6.8349999999999994E-2</v>
      </c>
      <c r="I79" s="23"/>
    </row>
    <row r="80" spans="1:9" ht="12.9" customHeight="1">
      <c r="A80" s="17" t="s">
        <v>730</v>
      </c>
      <c r="B80" s="18" t="s">
        <v>731</v>
      </c>
      <c r="C80" s="14" t="s">
        <v>732</v>
      </c>
      <c r="D80" s="14" t="s">
        <v>84</v>
      </c>
      <c r="E80" s="19">
        <v>5000000</v>
      </c>
      <c r="F80" s="20">
        <v>5067.5050000000001</v>
      </c>
      <c r="G80" s="21">
        <v>3.8999999999999998E-3</v>
      </c>
      <c r="H80" s="22">
        <v>6.6212999999999994E-2</v>
      </c>
      <c r="I80" s="23"/>
    </row>
    <row r="81" spans="1:9" ht="12.9" customHeight="1">
      <c r="A81" s="17" t="s">
        <v>2603</v>
      </c>
      <c r="B81" s="18" t="s">
        <v>2604</v>
      </c>
      <c r="C81" s="14" t="s">
        <v>2605</v>
      </c>
      <c r="D81" s="14" t="s">
        <v>109</v>
      </c>
      <c r="E81" s="19">
        <v>500</v>
      </c>
      <c r="F81" s="20">
        <v>5062.8599999999997</v>
      </c>
      <c r="G81" s="21">
        <v>3.8999999999999998E-3</v>
      </c>
      <c r="H81" s="22">
        <v>6.7699999999999996E-2</v>
      </c>
      <c r="I81" s="23"/>
    </row>
    <row r="82" spans="1:9" ht="12.9" customHeight="1">
      <c r="A82" s="17" t="s">
        <v>2606</v>
      </c>
      <c r="B82" s="18" t="s">
        <v>2607</v>
      </c>
      <c r="C82" s="14" t="s">
        <v>2608</v>
      </c>
      <c r="D82" s="14" t="s">
        <v>109</v>
      </c>
      <c r="E82" s="19">
        <v>5000</v>
      </c>
      <c r="F82" s="20">
        <v>5060.5050000000001</v>
      </c>
      <c r="G82" s="21">
        <v>3.8999999999999998E-3</v>
      </c>
      <c r="H82" s="22">
        <v>7.0000000000000007E-2</v>
      </c>
      <c r="I82" s="23"/>
    </row>
    <row r="83" spans="1:9" ht="12.9" customHeight="1">
      <c r="A83" s="17" t="s">
        <v>344</v>
      </c>
      <c r="B83" s="18" t="s">
        <v>345</v>
      </c>
      <c r="C83" s="14" t="s">
        <v>346</v>
      </c>
      <c r="D83" s="14" t="s">
        <v>109</v>
      </c>
      <c r="E83" s="19">
        <v>5000</v>
      </c>
      <c r="F83" s="20">
        <v>5050.625</v>
      </c>
      <c r="G83" s="21">
        <v>3.8999999999999998E-3</v>
      </c>
      <c r="H83" s="22">
        <v>6.9779999999999995E-2</v>
      </c>
      <c r="I83" s="23"/>
    </row>
    <row r="84" spans="1:9" ht="12.9" customHeight="1">
      <c r="A84" s="17" t="s">
        <v>1122</v>
      </c>
      <c r="B84" s="18" t="s">
        <v>1123</v>
      </c>
      <c r="C84" s="14" t="s">
        <v>1124</v>
      </c>
      <c r="D84" s="14" t="s">
        <v>109</v>
      </c>
      <c r="E84" s="19">
        <v>500</v>
      </c>
      <c r="F84" s="20">
        <v>5048.8450000000003</v>
      </c>
      <c r="G84" s="21">
        <v>3.8999999999999998E-3</v>
      </c>
      <c r="H84" s="22">
        <v>6.8250000000000005E-2</v>
      </c>
      <c r="I84" s="23"/>
    </row>
    <row r="85" spans="1:9" ht="12.9" customHeight="1">
      <c r="A85" s="17" t="s">
        <v>338</v>
      </c>
      <c r="B85" s="18" t="s">
        <v>339</v>
      </c>
      <c r="C85" s="14" t="s">
        <v>340</v>
      </c>
      <c r="D85" s="14" t="s">
        <v>109</v>
      </c>
      <c r="E85" s="19">
        <v>5000</v>
      </c>
      <c r="F85" s="20">
        <v>5048.5550000000003</v>
      </c>
      <c r="G85" s="21">
        <v>3.8999999999999998E-3</v>
      </c>
      <c r="H85" s="22">
        <v>6.8199999999999997E-2</v>
      </c>
      <c r="I85" s="23"/>
    </row>
    <row r="86" spans="1:9" ht="12.9" customHeight="1">
      <c r="A86" s="17" t="s">
        <v>2609</v>
      </c>
      <c r="B86" s="18" t="s">
        <v>2610</v>
      </c>
      <c r="C86" s="14" t="s">
        <v>2611</v>
      </c>
      <c r="D86" s="14" t="s">
        <v>109</v>
      </c>
      <c r="E86" s="19">
        <v>5000</v>
      </c>
      <c r="F86" s="20">
        <v>5047.5550000000003</v>
      </c>
      <c r="G86" s="21">
        <v>3.8999999999999998E-3</v>
      </c>
      <c r="H86" s="22">
        <v>6.8199999999999997E-2</v>
      </c>
      <c r="I86" s="23"/>
    </row>
    <row r="87" spans="1:9" ht="12.9" customHeight="1">
      <c r="A87" s="17" t="s">
        <v>619</v>
      </c>
      <c r="B87" s="18" t="s">
        <v>620</v>
      </c>
      <c r="C87" s="14" t="s">
        <v>621</v>
      </c>
      <c r="D87" s="14" t="s">
        <v>109</v>
      </c>
      <c r="E87" s="19">
        <v>5000</v>
      </c>
      <c r="F87" s="20">
        <v>5044.6049999999996</v>
      </c>
      <c r="G87" s="21">
        <v>3.8999999999999998E-3</v>
      </c>
      <c r="H87" s="22">
        <v>7.2599999999999998E-2</v>
      </c>
      <c r="I87" s="23"/>
    </row>
    <row r="88" spans="1:9" ht="12.9" customHeight="1">
      <c r="A88" s="17" t="s">
        <v>2612</v>
      </c>
      <c r="B88" s="18" t="s">
        <v>2613</v>
      </c>
      <c r="C88" s="14" t="s">
        <v>2614</v>
      </c>
      <c r="D88" s="14" t="s">
        <v>109</v>
      </c>
      <c r="E88" s="19">
        <v>500</v>
      </c>
      <c r="F88" s="20">
        <v>5033.01</v>
      </c>
      <c r="G88" s="21">
        <v>3.8999999999999998E-3</v>
      </c>
      <c r="H88" s="22">
        <v>6.8250000000000005E-2</v>
      </c>
      <c r="I88" s="23"/>
    </row>
    <row r="89" spans="1:9" ht="12.9" customHeight="1">
      <c r="A89" s="17" t="s">
        <v>2615</v>
      </c>
      <c r="B89" s="18" t="s">
        <v>2616</v>
      </c>
      <c r="C89" s="14" t="s">
        <v>2617</v>
      </c>
      <c r="D89" s="14" t="s">
        <v>109</v>
      </c>
      <c r="E89" s="19">
        <v>500</v>
      </c>
      <c r="F89" s="20">
        <v>5023.8450000000003</v>
      </c>
      <c r="G89" s="21">
        <v>3.8999999999999998E-3</v>
      </c>
      <c r="H89" s="22">
        <v>6.8250000000000005E-2</v>
      </c>
      <c r="I89" s="23"/>
    </row>
    <row r="90" spans="1:9" ht="12.9" customHeight="1">
      <c r="A90" s="17" t="s">
        <v>394</v>
      </c>
      <c r="B90" s="18" t="s">
        <v>395</v>
      </c>
      <c r="C90" s="14" t="s">
        <v>396</v>
      </c>
      <c r="D90" s="14" t="s">
        <v>109</v>
      </c>
      <c r="E90" s="19">
        <v>5000</v>
      </c>
      <c r="F90" s="20">
        <v>5008.18</v>
      </c>
      <c r="G90" s="21">
        <v>3.8999999999999998E-3</v>
      </c>
      <c r="H90" s="22">
        <v>7.0499999999999993E-2</v>
      </c>
      <c r="I90" s="23"/>
    </row>
    <row r="91" spans="1:9" ht="12.9" customHeight="1">
      <c r="A91" s="17" t="s">
        <v>1065</v>
      </c>
      <c r="B91" s="18" t="s">
        <v>1066</v>
      </c>
      <c r="C91" s="14" t="s">
        <v>1067</v>
      </c>
      <c r="D91" s="14" t="s">
        <v>84</v>
      </c>
      <c r="E91" s="19">
        <v>5000000</v>
      </c>
      <c r="F91" s="20">
        <v>5005.01</v>
      </c>
      <c r="G91" s="21">
        <v>3.8999999999999998E-3</v>
      </c>
      <c r="H91" s="22">
        <v>7.6146000000000005E-2</v>
      </c>
      <c r="I91" s="23"/>
    </row>
    <row r="92" spans="1:9" ht="12.9" customHeight="1">
      <c r="A92" s="17" t="s">
        <v>1068</v>
      </c>
      <c r="B92" s="18" t="s">
        <v>1069</v>
      </c>
      <c r="C92" s="14" t="s">
        <v>1070</v>
      </c>
      <c r="D92" s="14" t="s">
        <v>109</v>
      </c>
      <c r="E92" s="19">
        <v>5000</v>
      </c>
      <c r="F92" s="20">
        <v>5004.4449999999997</v>
      </c>
      <c r="G92" s="21">
        <v>3.8999999999999998E-3</v>
      </c>
      <c r="H92" s="22">
        <v>7.1900000000000006E-2</v>
      </c>
      <c r="I92" s="23"/>
    </row>
    <row r="93" spans="1:9" ht="12.9" customHeight="1">
      <c r="A93" s="17" t="s">
        <v>532</v>
      </c>
      <c r="B93" s="18" t="s">
        <v>533</v>
      </c>
      <c r="C93" s="14" t="s">
        <v>534</v>
      </c>
      <c r="D93" s="14" t="s">
        <v>109</v>
      </c>
      <c r="E93" s="19">
        <v>5000</v>
      </c>
      <c r="F93" s="20">
        <v>4995.21</v>
      </c>
      <c r="G93" s="21">
        <v>3.8999999999999998E-3</v>
      </c>
      <c r="H93" s="22">
        <v>7.1249999999999994E-2</v>
      </c>
      <c r="I93" s="23"/>
    </row>
    <row r="94" spans="1:9" ht="12.9" customHeight="1">
      <c r="A94" s="17" t="s">
        <v>2618</v>
      </c>
      <c r="B94" s="18" t="s">
        <v>2619</v>
      </c>
      <c r="C94" s="14" t="s">
        <v>2620</v>
      </c>
      <c r="D94" s="14" t="s">
        <v>109</v>
      </c>
      <c r="E94" s="19">
        <v>5000</v>
      </c>
      <c r="F94" s="20">
        <v>4991.8599999999997</v>
      </c>
      <c r="G94" s="21">
        <v>3.8999999999999998E-3</v>
      </c>
      <c r="H94" s="22">
        <v>6.9750000000000006E-2</v>
      </c>
      <c r="I94" s="23"/>
    </row>
    <row r="95" spans="1:9" ht="12.9" customHeight="1">
      <c r="A95" s="17" t="s">
        <v>1425</v>
      </c>
      <c r="B95" s="18" t="s">
        <v>1426</v>
      </c>
      <c r="C95" s="14" t="s">
        <v>1427</v>
      </c>
      <c r="D95" s="14" t="s">
        <v>109</v>
      </c>
      <c r="E95" s="19">
        <v>5000</v>
      </c>
      <c r="F95" s="20">
        <v>4987.58</v>
      </c>
      <c r="G95" s="21">
        <v>3.8999999999999998E-3</v>
      </c>
      <c r="H95" s="22">
        <v>7.7350000000000002E-2</v>
      </c>
      <c r="I95" s="23"/>
    </row>
    <row r="96" spans="1:9" ht="12.9" customHeight="1">
      <c r="A96" s="17" t="s">
        <v>1004</v>
      </c>
      <c r="B96" s="18" t="s">
        <v>1005</v>
      </c>
      <c r="C96" s="14" t="s">
        <v>1006</v>
      </c>
      <c r="D96" s="14" t="s">
        <v>372</v>
      </c>
      <c r="E96" s="19">
        <v>5000</v>
      </c>
      <c r="F96" s="20">
        <v>4970.8500000000004</v>
      </c>
      <c r="G96" s="21">
        <v>3.8999999999999998E-3</v>
      </c>
      <c r="H96" s="22">
        <v>6.8199999999999997E-2</v>
      </c>
      <c r="I96" s="23"/>
    </row>
    <row r="97" spans="1:9" ht="12.9" customHeight="1">
      <c r="A97" s="17" t="s">
        <v>2621</v>
      </c>
      <c r="B97" s="18" t="s">
        <v>2622</v>
      </c>
      <c r="C97" s="14" t="s">
        <v>2623</v>
      </c>
      <c r="D97" s="14" t="s">
        <v>109</v>
      </c>
      <c r="E97" s="19">
        <v>5000</v>
      </c>
      <c r="F97" s="20">
        <v>4956.24</v>
      </c>
      <c r="G97" s="21">
        <v>3.8E-3</v>
      </c>
      <c r="H97" s="22">
        <v>6.8650000000000003E-2</v>
      </c>
      <c r="I97" s="23"/>
    </row>
    <row r="98" spans="1:9" ht="12.9" customHeight="1">
      <c r="A98" s="17" t="s">
        <v>2624</v>
      </c>
      <c r="B98" s="18" t="s">
        <v>2625</v>
      </c>
      <c r="C98" s="14" t="s">
        <v>2626</v>
      </c>
      <c r="D98" s="14" t="s">
        <v>109</v>
      </c>
      <c r="E98" s="19">
        <v>5000</v>
      </c>
      <c r="F98" s="20">
        <v>4922.2349999999997</v>
      </c>
      <c r="G98" s="21">
        <v>3.8E-3</v>
      </c>
      <c r="H98" s="22">
        <v>7.0400000000000004E-2</v>
      </c>
      <c r="I98" s="23"/>
    </row>
    <row r="99" spans="1:9" ht="12.9" customHeight="1">
      <c r="A99" s="17" t="s">
        <v>2627</v>
      </c>
      <c r="B99" s="18" t="s">
        <v>2628</v>
      </c>
      <c r="C99" s="14" t="s">
        <v>2629</v>
      </c>
      <c r="D99" s="14" t="s">
        <v>109</v>
      </c>
      <c r="E99" s="19">
        <v>450</v>
      </c>
      <c r="F99" s="20">
        <v>4571.2484999999997</v>
      </c>
      <c r="G99" s="21">
        <v>3.5000000000000001E-3</v>
      </c>
      <c r="H99" s="22">
        <v>7.0599999999999996E-2</v>
      </c>
      <c r="I99" s="23"/>
    </row>
    <row r="100" spans="1:9" ht="12.9" customHeight="1">
      <c r="A100" s="17" t="s">
        <v>1047</v>
      </c>
      <c r="B100" s="18" t="s">
        <v>1048</v>
      </c>
      <c r="C100" s="14" t="s">
        <v>1049</v>
      </c>
      <c r="D100" s="14" t="s">
        <v>372</v>
      </c>
      <c r="E100" s="19">
        <v>4500</v>
      </c>
      <c r="F100" s="20">
        <v>4496.4584999999997</v>
      </c>
      <c r="G100" s="21">
        <v>3.5000000000000001E-3</v>
      </c>
      <c r="H100" s="22">
        <v>7.1586999999999998E-2</v>
      </c>
      <c r="I100" s="23"/>
    </row>
    <row r="101" spans="1:9" ht="12.9" customHeight="1">
      <c r="A101" s="17" t="s">
        <v>2630</v>
      </c>
      <c r="B101" s="18" t="s">
        <v>2631</v>
      </c>
      <c r="C101" s="14" t="s">
        <v>2632</v>
      </c>
      <c r="D101" s="14" t="s">
        <v>84</v>
      </c>
      <c r="E101" s="19">
        <v>3999500</v>
      </c>
      <c r="F101" s="20">
        <v>4086.3611000000001</v>
      </c>
      <c r="G101" s="21">
        <v>3.2000000000000002E-3</v>
      </c>
      <c r="H101" s="22">
        <v>6.9101999999999997E-2</v>
      </c>
      <c r="I101" s="23"/>
    </row>
    <row r="102" spans="1:9" ht="12.9" customHeight="1">
      <c r="A102" s="17" t="s">
        <v>2633</v>
      </c>
      <c r="B102" s="18" t="s">
        <v>2634</v>
      </c>
      <c r="C102" s="14" t="s">
        <v>2635</v>
      </c>
      <c r="D102" s="14" t="s">
        <v>895</v>
      </c>
      <c r="E102" s="19">
        <v>4000</v>
      </c>
      <c r="F102" s="20">
        <v>4054.6280000000002</v>
      </c>
      <c r="G102" s="21">
        <v>3.0999999999999999E-3</v>
      </c>
      <c r="H102" s="22">
        <v>7.3752999999999999E-2</v>
      </c>
      <c r="I102" s="23"/>
    </row>
    <row r="103" spans="1:9" ht="12.9" customHeight="1">
      <c r="A103" s="17" t="s">
        <v>2636</v>
      </c>
      <c r="B103" s="18" t="s">
        <v>2637</v>
      </c>
      <c r="C103" s="14" t="s">
        <v>2638</v>
      </c>
      <c r="D103" s="14" t="s">
        <v>372</v>
      </c>
      <c r="E103" s="19">
        <v>4000</v>
      </c>
      <c r="F103" s="20">
        <v>4042.2040000000002</v>
      </c>
      <c r="G103" s="21">
        <v>3.0999999999999999E-3</v>
      </c>
      <c r="H103" s="22">
        <v>6.8449999999999997E-2</v>
      </c>
      <c r="I103" s="23"/>
    </row>
    <row r="104" spans="1:9" ht="12.9" customHeight="1">
      <c r="A104" s="17" t="s">
        <v>2639</v>
      </c>
      <c r="B104" s="18" t="s">
        <v>2640</v>
      </c>
      <c r="C104" s="14" t="s">
        <v>2641</v>
      </c>
      <c r="D104" s="14" t="s">
        <v>109</v>
      </c>
      <c r="E104" s="19">
        <v>4000</v>
      </c>
      <c r="F104" s="20">
        <v>3986.18</v>
      </c>
      <c r="G104" s="21">
        <v>3.0999999999999999E-3</v>
      </c>
      <c r="H104" s="22">
        <v>7.2499999999999995E-2</v>
      </c>
      <c r="I104" s="23"/>
    </row>
    <row r="105" spans="1:9" ht="12.9" customHeight="1">
      <c r="A105" s="17" t="s">
        <v>1143</v>
      </c>
      <c r="B105" s="18" t="s">
        <v>1144</v>
      </c>
      <c r="C105" s="14" t="s">
        <v>1145</v>
      </c>
      <c r="D105" s="14" t="s">
        <v>109</v>
      </c>
      <c r="E105" s="19">
        <v>3500</v>
      </c>
      <c r="F105" s="20">
        <v>3502.9050000000002</v>
      </c>
      <c r="G105" s="21">
        <v>2.7000000000000001E-3</v>
      </c>
      <c r="H105" s="22">
        <v>7.3382000000000003E-2</v>
      </c>
      <c r="I105" s="23"/>
    </row>
    <row r="106" spans="1:9" ht="12.9" customHeight="1">
      <c r="A106" s="17" t="s">
        <v>2642</v>
      </c>
      <c r="B106" s="18" t="s">
        <v>2643</v>
      </c>
      <c r="C106" s="14" t="s">
        <v>2644</v>
      </c>
      <c r="D106" s="14" t="s">
        <v>895</v>
      </c>
      <c r="E106" s="19">
        <v>3200</v>
      </c>
      <c r="F106" s="20">
        <v>3252.2080000000001</v>
      </c>
      <c r="G106" s="21">
        <v>2.5000000000000001E-3</v>
      </c>
      <c r="H106" s="22">
        <v>7.5975000000000001E-2</v>
      </c>
      <c r="I106" s="23"/>
    </row>
    <row r="107" spans="1:9" ht="12.9" customHeight="1">
      <c r="A107" s="17" t="s">
        <v>2645</v>
      </c>
      <c r="B107" s="18" t="s">
        <v>2646</v>
      </c>
      <c r="C107" s="14" t="s">
        <v>2647</v>
      </c>
      <c r="D107" s="14" t="s">
        <v>84</v>
      </c>
      <c r="E107" s="19">
        <v>3000000</v>
      </c>
      <c r="F107" s="20">
        <v>3092.9969999999998</v>
      </c>
      <c r="G107" s="21">
        <v>2.3999999999999998E-3</v>
      </c>
      <c r="H107" s="22">
        <v>6.7216999999999999E-2</v>
      </c>
      <c r="I107" s="23"/>
    </row>
    <row r="108" spans="1:9" ht="12.9" customHeight="1">
      <c r="A108" s="17" t="s">
        <v>2648</v>
      </c>
      <c r="B108" s="18" t="s">
        <v>2649</v>
      </c>
      <c r="C108" s="14" t="s">
        <v>2650</v>
      </c>
      <c r="D108" s="14" t="s">
        <v>1545</v>
      </c>
      <c r="E108" s="19">
        <v>3000</v>
      </c>
      <c r="F108" s="20">
        <v>2987.7719999999999</v>
      </c>
      <c r="G108" s="21">
        <v>2.3E-3</v>
      </c>
      <c r="H108" s="22">
        <v>7.8649999999999998E-2</v>
      </c>
      <c r="I108" s="23"/>
    </row>
    <row r="109" spans="1:9" ht="12.9" customHeight="1">
      <c r="A109" s="17" t="s">
        <v>682</v>
      </c>
      <c r="B109" s="18" t="s">
        <v>683</v>
      </c>
      <c r="C109" s="14" t="s">
        <v>684</v>
      </c>
      <c r="D109" s="14" t="s">
        <v>109</v>
      </c>
      <c r="E109" s="19">
        <v>270</v>
      </c>
      <c r="F109" s="20">
        <v>2721.0816</v>
      </c>
      <c r="G109" s="21">
        <v>2.0999999999999999E-3</v>
      </c>
      <c r="H109" s="22">
        <v>6.8250000000000005E-2</v>
      </c>
      <c r="I109" s="23"/>
    </row>
    <row r="110" spans="1:9" ht="12.9" customHeight="1">
      <c r="A110" s="17" t="s">
        <v>1026</v>
      </c>
      <c r="B110" s="18" t="s">
        <v>1027</v>
      </c>
      <c r="C110" s="14" t="s">
        <v>1028</v>
      </c>
      <c r="D110" s="14" t="s">
        <v>109</v>
      </c>
      <c r="E110" s="19">
        <v>250</v>
      </c>
      <c r="F110" s="20">
        <v>2599.5774999999999</v>
      </c>
      <c r="G110" s="21">
        <v>2E-3</v>
      </c>
      <c r="H110" s="22">
        <v>6.9400000000000003E-2</v>
      </c>
      <c r="I110" s="23"/>
    </row>
    <row r="111" spans="1:9" ht="12.9" customHeight="1">
      <c r="A111" s="17" t="s">
        <v>2651</v>
      </c>
      <c r="B111" s="18" t="s">
        <v>2652</v>
      </c>
      <c r="C111" s="14" t="s">
        <v>2653</v>
      </c>
      <c r="D111" s="14" t="s">
        <v>84</v>
      </c>
      <c r="E111" s="19">
        <v>2500000</v>
      </c>
      <c r="F111" s="20">
        <v>2571.4875000000002</v>
      </c>
      <c r="G111" s="21">
        <v>2E-3</v>
      </c>
      <c r="H111" s="22">
        <v>6.7271999999999998E-2</v>
      </c>
      <c r="I111" s="23"/>
    </row>
    <row r="112" spans="1:9" ht="12.9" customHeight="1">
      <c r="A112" s="17" t="s">
        <v>1041</v>
      </c>
      <c r="B112" s="18" t="s">
        <v>1042</v>
      </c>
      <c r="C112" s="14" t="s">
        <v>1043</v>
      </c>
      <c r="D112" s="14" t="s">
        <v>109</v>
      </c>
      <c r="E112" s="19">
        <v>250</v>
      </c>
      <c r="F112" s="20">
        <v>2565.6075000000001</v>
      </c>
      <c r="G112" s="21">
        <v>2E-3</v>
      </c>
      <c r="H112" s="22">
        <v>7.0300000000000001E-2</v>
      </c>
      <c r="I112" s="23"/>
    </row>
    <row r="113" spans="1:9" ht="12.9" customHeight="1">
      <c r="A113" s="17" t="s">
        <v>2654</v>
      </c>
      <c r="B113" s="18" t="s">
        <v>2655</v>
      </c>
      <c r="C113" s="14" t="s">
        <v>2656</v>
      </c>
      <c r="D113" s="14" t="s">
        <v>895</v>
      </c>
      <c r="E113" s="19">
        <v>2500</v>
      </c>
      <c r="F113" s="20">
        <v>2552.0450000000001</v>
      </c>
      <c r="G113" s="21">
        <v>2E-3</v>
      </c>
      <c r="H113" s="22">
        <v>7.6499999999999999E-2</v>
      </c>
      <c r="I113" s="23"/>
    </row>
    <row r="114" spans="1:9" ht="12.9" customHeight="1">
      <c r="A114" s="17" t="s">
        <v>490</v>
      </c>
      <c r="B114" s="18" t="s">
        <v>491</v>
      </c>
      <c r="C114" s="14" t="s">
        <v>492</v>
      </c>
      <c r="D114" s="14" t="s">
        <v>109</v>
      </c>
      <c r="E114" s="19">
        <v>2500</v>
      </c>
      <c r="F114" s="20">
        <v>2547.6525000000001</v>
      </c>
      <c r="G114" s="21">
        <v>2E-3</v>
      </c>
      <c r="H114" s="22">
        <v>6.9500000000000006E-2</v>
      </c>
      <c r="I114" s="23"/>
    </row>
    <row r="115" spans="1:9" ht="12.9" customHeight="1">
      <c r="A115" s="17" t="s">
        <v>2657</v>
      </c>
      <c r="B115" s="18" t="s">
        <v>2658</v>
      </c>
      <c r="C115" s="14" t="s">
        <v>2659</v>
      </c>
      <c r="D115" s="14" t="s">
        <v>109</v>
      </c>
      <c r="E115" s="19">
        <v>2500</v>
      </c>
      <c r="F115" s="20">
        <v>2536.1224999999999</v>
      </c>
      <c r="G115" s="21">
        <v>2E-3</v>
      </c>
      <c r="H115" s="22">
        <v>7.195E-2</v>
      </c>
      <c r="I115" s="23"/>
    </row>
    <row r="116" spans="1:9" ht="12.9" customHeight="1">
      <c r="A116" s="17" t="s">
        <v>1419</v>
      </c>
      <c r="B116" s="18" t="s">
        <v>1420</v>
      </c>
      <c r="C116" s="14" t="s">
        <v>1421</v>
      </c>
      <c r="D116" s="14" t="s">
        <v>109</v>
      </c>
      <c r="E116" s="19">
        <v>2500</v>
      </c>
      <c r="F116" s="20">
        <v>2536.105</v>
      </c>
      <c r="G116" s="21">
        <v>2E-3</v>
      </c>
      <c r="H116" s="22">
        <v>7.0150000000000004E-2</v>
      </c>
      <c r="I116" s="23"/>
    </row>
    <row r="117" spans="1:9" ht="12.9" customHeight="1">
      <c r="A117" s="17" t="s">
        <v>664</v>
      </c>
      <c r="B117" s="18" t="s">
        <v>665</v>
      </c>
      <c r="C117" s="14" t="s">
        <v>666</v>
      </c>
      <c r="D117" s="14" t="s">
        <v>109</v>
      </c>
      <c r="E117" s="19">
        <v>2500</v>
      </c>
      <c r="F117" s="20">
        <v>2536</v>
      </c>
      <c r="G117" s="21">
        <v>2E-3</v>
      </c>
      <c r="H117" s="22">
        <v>7.0449999999999999E-2</v>
      </c>
      <c r="I117" s="23"/>
    </row>
    <row r="118" spans="1:9" ht="12.9" customHeight="1">
      <c r="A118" s="17" t="s">
        <v>1167</v>
      </c>
      <c r="B118" s="18" t="s">
        <v>1168</v>
      </c>
      <c r="C118" s="14" t="s">
        <v>1169</v>
      </c>
      <c r="D118" s="14" t="s">
        <v>109</v>
      </c>
      <c r="E118" s="19">
        <v>2500</v>
      </c>
      <c r="F118" s="20">
        <v>2532.8375000000001</v>
      </c>
      <c r="G118" s="21">
        <v>2E-3</v>
      </c>
      <c r="H118" s="22">
        <v>6.8349999999999994E-2</v>
      </c>
      <c r="I118" s="23"/>
    </row>
    <row r="119" spans="1:9" ht="12.9" customHeight="1">
      <c r="A119" s="17" t="s">
        <v>2660</v>
      </c>
      <c r="B119" s="18" t="s">
        <v>2661</v>
      </c>
      <c r="C119" s="14" t="s">
        <v>2662</v>
      </c>
      <c r="D119" s="14" t="s">
        <v>109</v>
      </c>
      <c r="E119" s="19">
        <v>250</v>
      </c>
      <c r="F119" s="20">
        <v>2532.5174999999999</v>
      </c>
      <c r="G119" s="21">
        <v>2E-3</v>
      </c>
      <c r="H119" s="22">
        <v>7.0000000000000007E-2</v>
      </c>
      <c r="I119" s="23"/>
    </row>
    <row r="120" spans="1:9" ht="12.9" customHeight="1">
      <c r="A120" s="17" t="s">
        <v>2663</v>
      </c>
      <c r="B120" s="18" t="s">
        <v>2664</v>
      </c>
      <c r="C120" s="14" t="s">
        <v>2665</v>
      </c>
      <c r="D120" s="14" t="s">
        <v>109</v>
      </c>
      <c r="E120" s="19">
        <v>2500</v>
      </c>
      <c r="F120" s="20">
        <v>2531.98</v>
      </c>
      <c r="G120" s="21">
        <v>2E-3</v>
      </c>
      <c r="H120" s="22">
        <v>6.9746000000000002E-2</v>
      </c>
      <c r="I120" s="23"/>
    </row>
    <row r="121" spans="1:9" ht="12.9" customHeight="1">
      <c r="A121" s="17" t="s">
        <v>421</v>
      </c>
      <c r="B121" s="18" t="s">
        <v>422</v>
      </c>
      <c r="C121" s="14" t="s">
        <v>423</v>
      </c>
      <c r="D121" s="14" t="s">
        <v>109</v>
      </c>
      <c r="E121" s="19">
        <v>250</v>
      </c>
      <c r="F121" s="20">
        <v>2530.5475000000001</v>
      </c>
      <c r="G121" s="21">
        <v>2E-3</v>
      </c>
      <c r="H121" s="22">
        <v>7.2800000000000004E-2</v>
      </c>
      <c r="I121" s="23"/>
    </row>
    <row r="122" spans="1:9" ht="12.9" customHeight="1">
      <c r="A122" s="17" t="s">
        <v>2666</v>
      </c>
      <c r="B122" s="18" t="s">
        <v>2667</v>
      </c>
      <c r="C122" s="14" t="s">
        <v>2668</v>
      </c>
      <c r="D122" s="14" t="s">
        <v>1448</v>
      </c>
      <c r="E122" s="19">
        <v>2500</v>
      </c>
      <c r="F122" s="20">
        <v>2527.4324999999999</v>
      </c>
      <c r="G122" s="21">
        <v>2E-3</v>
      </c>
      <c r="H122" s="22">
        <v>7.3649999999999993E-2</v>
      </c>
      <c r="I122" s="23"/>
    </row>
    <row r="123" spans="1:9" ht="12.9" customHeight="1">
      <c r="A123" s="17" t="s">
        <v>517</v>
      </c>
      <c r="B123" s="18" t="s">
        <v>518</v>
      </c>
      <c r="C123" s="14" t="s">
        <v>519</v>
      </c>
      <c r="D123" s="14" t="s">
        <v>109</v>
      </c>
      <c r="E123" s="19">
        <v>2500</v>
      </c>
      <c r="F123" s="20">
        <v>2521.7775000000001</v>
      </c>
      <c r="G123" s="21">
        <v>2E-3</v>
      </c>
      <c r="H123" s="22">
        <v>7.1932999999999997E-2</v>
      </c>
      <c r="I123" s="23"/>
    </row>
    <row r="124" spans="1:9" ht="12.9" customHeight="1">
      <c r="A124" s="17" t="s">
        <v>2669</v>
      </c>
      <c r="B124" s="18" t="s">
        <v>2670</v>
      </c>
      <c r="C124" s="14" t="s">
        <v>2671</v>
      </c>
      <c r="D124" s="14" t="s">
        <v>109</v>
      </c>
      <c r="E124" s="19">
        <v>2500</v>
      </c>
      <c r="F124" s="20">
        <v>2514.5925000000002</v>
      </c>
      <c r="G124" s="21">
        <v>1.9E-3</v>
      </c>
      <c r="H124" s="22">
        <v>6.7220000000000002E-2</v>
      </c>
      <c r="I124" s="23"/>
    </row>
    <row r="125" spans="1:9" ht="12.9" customHeight="1">
      <c r="A125" s="17" t="s">
        <v>2672</v>
      </c>
      <c r="B125" s="18" t="s">
        <v>2673</v>
      </c>
      <c r="C125" s="14" t="s">
        <v>2674</v>
      </c>
      <c r="D125" s="14" t="s">
        <v>372</v>
      </c>
      <c r="E125" s="19">
        <v>2500</v>
      </c>
      <c r="F125" s="20">
        <v>2514.06</v>
      </c>
      <c r="G125" s="21">
        <v>1.9E-3</v>
      </c>
      <c r="H125" s="22">
        <v>6.7150000000000001E-2</v>
      </c>
      <c r="I125" s="23"/>
    </row>
    <row r="126" spans="1:9" ht="12.9" customHeight="1">
      <c r="A126" s="17" t="s">
        <v>357</v>
      </c>
      <c r="B126" s="18" t="s">
        <v>358</v>
      </c>
      <c r="C126" s="14" t="s">
        <v>359</v>
      </c>
      <c r="D126" s="14" t="s">
        <v>109</v>
      </c>
      <c r="E126" s="19">
        <v>2500</v>
      </c>
      <c r="F126" s="20">
        <v>2511.8074999999999</v>
      </c>
      <c r="G126" s="21">
        <v>1.9E-3</v>
      </c>
      <c r="H126" s="22">
        <v>7.0499999999999993E-2</v>
      </c>
      <c r="I126" s="23"/>
    </row>
    <row r="127" spans="1:9" ht="12.9" customHeight="1">
      <c r="A127" s="17" t="s">
        <v>821</v>
      </c>
      <c r="B127" s="18" t="s">
        <v>822</v>
      </c>
      <c r="C127" s="14" t="s">
        <v>823</v>
      </c>
      <c r="D127" s="14" t="s">
        <v>109</v>
      </c>
      <c r="E127" s="19">
        <v>2500</v>
      </c>
      <c r="F127" s="20">
        <v>2499.23</v>
      </c>
      <c r="G127" s="21">
        <v>1.9E-3</v>
      </c>
      <c r="H127" s="22">
        <v>7.1800000000000003E-2</v>
      </c>
      <c r="I127" s="23"/>
    </row>
    <row r="128" spans="1:9" ht="12.9" customHeight="1">
      <c r="A128" s="17" t="s">
        <v>2675</v>
      </c>
      <c r="B128" s="18" t="s">
        <v>2676</v>
      </c>
      <c r="C128" s="14" t="s">
        <v>2677</v>
      </c>
      <c r="D128" s="14" t="s">
        <v>84</v>
      </c>
      <c r="E128" s="19">
        <v>2500000</v>
      </c>
      <c r="F128" s="20">
        <v>2472.1725000000001</v>
      </c>
      <c r="G128" s="21">
        <v>1.9E-3</v>
      </c>
      <c r="H128" s="22">
        <v>6.9241999999999998E-2</v>
      </c>
      <c r="I128" s="23"/>
    </row>
    <row r="129" spans="1:9" ht="12.9" customHeight="1">
      <c r="A129" s="17" t="s">
        <v>1137</v>
      </c>
      <c r="B129" s="18" t="s">
        <v>1138</v>
      </c>
      <c r="C129" s="14" t="s">
        <v>1139</v>
      </c>
      <c r="D129" s="14" t="s">
        <v>372</v>
      </c>
      <c r="E129" s="19">
        <v>250</v>
      </c>
      <c r="F129" s="20">
        <v>2419.4699999999998</v>
      </c>
      <c r="G129" s="21">
        <v>1.9E-3</v>
      </c>
      <c r="H129" s="22">
        <v>7.2499999999999995E-2</v>
      </c>
      <c r="I129" s="23"/>
    </row>
    <row r="130" spans="1:9" ht="12.9" customHeight="1">
      <c r="A130" s="17" t="s">
        <v>2100</v>
      </c>
      <c r="B130" s="18" t="s">
        <v>2101</v>
      </c>
      <c r="C130" s="14" t="s">
        <v>2102</v>
      </c>
      <c r="D130" s="14" t="s">
        <v>84</v>
      </c>
      <c r="E130" s="19">
        <v>2377800</v>
      </c>
      <c r="F130" s="20">
        <v>2377.8094999999998</v>
      </c>
      <c r="G130" s="21">
        <v>1.8E-3</v>
      </c>
      <c r="H130" s="22">
        <v>7.5777999999999998E-2</v>
      </c>
      <c r="I130" s="23"/>
    </row>
    <row r="131" spans="1:9" ht="12.9" customHeight="1">
      <c r="A131" s="17" t="s">
        <v>2678</v>
      </c>
      <c r="B131" s="18" t="s">
        <v>2679</v>
      </c>
      <c r="C131" s="14" t="s">
        <v>2680</v>
      </c>
      <c r="D131" s="14" t="s">
        <v>109</v>
      </c>
      <c r="E131" s="19">
        <v>2000</v>
      </c>
      <c r="F131" s="20">
        <v>2137.172</v>
      </c>
      <c r="G131" s="21">
        <v>1.6999999999999999E-3</v>
      </c>
      <c r="H131" s="22">
        <v>7.8E-2</v>
      </c>
      <c r="I131" s="23"/>
    </row>
    <row r="132" spans="1:9" ht="12.9" customHeight="1">
      <c r="A132" s="17" t="s">
        <v>733</v>
      </c>
      <c r="B132" s="18" t="s">
        <v>734</v>
      </c>
      <c r="C132" s="14" t="s">
        <v>735</v>
      </c>
      <c r="D132" s="14" t="s">
        <v>84</v>
      </c>
      <c r="E132" s="19">
        <v>2000000</v>
      </c>
      <c r="F132" s="20">
        <v>2032.21</v>
      </c>
      <c r="G132" s="21">
        <v>1.6000000000000001E-3</v>
      </c>
      <c r="H132" s="22">
        <v>7.3926000000000006E-2</v>
      </c>
      <c r="I132" s="23"/>
    </row>
    <row r="133" spans="1:9" ht="12.9" customHeight="1">
      <c r="A133" s="17" t="s">
        <v>1029</v>
      </c>
      <c r="B133" s="18" t="s">
        <v>1030</v>
      </c>
      <c r="C133" s="14" t="s">
        <v>1031</v>
      </c>
      <c r="D133" s="14" t="s">
        <v>109</v>
      </c>
      <c r="E133" s="19">
        <v>2000</v>
      </c>
      <c r="F133" s="20">
        <v>2024.672</v>
      </c>
      <c r="G133" s="21">
        <v>1.6000000000000001E-3</v>
      </c>
      <c r="H133" s="22">
        <v>6.8349999999999994E-2</v>
      </c>
      <c r="I133" s="23"/>
    </row>
    <row r="134" spans="1:9" ht="12.9" customHeight="1">
      <c r="A134" s="17" t="s">
        <v>1248</v>
      </c>
      <c r="B134" s="18" t="s">
        <v>1249</v>
      </c>
      <c r="C134" s="14" t="s">
        <v>1250</v>
      </c>
      <c r="D134" s="14" t="s">
        <v>84</v>
      </c>
      <c r="E134" s="19">
        <v>2000000</v>
      </c>
      <c r="F134" s="20">
        <v>2016.29</v>
      </c>
      <c r="G134" s="21">
        <v>1.6000000000000001E-3</v>
      </c>
      <c r="H134" s="22">
        <v>5.9921000000000002E-2</v>
      </c>
      <c r="I134" s="23"/>
    </row>
    <row r="135" spans="1:9" ht="12.9" customHeight="1">
      <c r="A135" s="17" t="s">
        <v>2681</v>
      </c>
      <c r="B135" s="18" t="s">
        <v>2682</v>
      </c>
      <c r="C135" s="14" t="s">
        <v>2683</v>
      </c>
      <c r="D135" s="14" t="s">
        <v>895</v>
      </c>
      <c r="E135" s="19">
        <v>2000</v>
      </c>
      <c r="F135" s="20">
        <v>2013.9860000000001</v>
      </c>
      <c r="G135" s="21">
        <v>1.6000000000000001E-3</v>
      </c>
      <c r="H135" s="22">
        <v>7.6399999999999996E-2</v>
      </c>
      <c r="I135" s="23"/>
    </row>
    <row r="136" spans="1:9" ht="12.9" customHeight="1">
      <c r="A136" s="17" t="s">
        <v>2684</v>
      </c>
      <c r="B136" s="18" t="s">
        <v>2685</v>
      </c>
      <c r="C136" s="14" t="s">
        <v>2686</v>
      </c>
      <c r="D136" s="14" t="s">
        <v>1545</v>
      </c>
      <c r="E136" s="19">
        <v>2000</v>
      </c>
      <c r="F136" s="20">
        <v>1993.278</v>
      </c>
      <c r="G136" s="21">
        <v>1.5E-3</v>
      </c>
      <c r="H136" s="22">
        <v>7.8549999999999995E-2</v>
      </c>
      <c r="I136" s="23"/>
    </row>
    <row r="137" spans="1:9" ht="12.9" customHeight="1">
      <c r="A137" s="17" t="s">
        <v>2687</v>
      </c>
      <c r="B137" s="18" t="s">
        <v>2688</v>
      </c>
      <c r="C137" s="14" t="s">
        <v>2689</v>
      </c>
      <c r="D137" s="14" t="s">
        <v>1545</v>
      </c>
      <c r="E137" s="19">
        <v>2000</v>
      </c>
      <c r="F137" s="20">
        <v>1990.7360000000001</v>
      </c>
      <c r="G137" s="21">
        <v>1.5E-3</v>
      </c>
      <c r="H137" s="22">
        <v>7.8566999999999998E-2</v>
      </c>
      <c r="I137" s="23"/>
    </row>
    <row r="138" spans="1:9" ht="12.9" customHeight="1">
      <c r="A138" s="17" t="s">
        <v>2690</v>
      </c>
      <c r="B138" s="18" t="s">
        <v>2691</v>
      </c>
      <c r="C138" s="14" t="s">
        <v>2692</v>
      </c>
      <c r="D138" s="14" t="s">
        <v>1545</v>
      </c>
      <c r="E138" s="19">
        <v>2000</v>
      </c>
      <c r="F138" s="20">
        <v>1990.2139999999999</v>
      </c>
      <c r="G138" s="21">
        <v>1.5E-3</v>
      </c>
      <c r="H138" s="22">
        <v>7.8649999999999998E-2</v>
      </c>
      <c r="I138" s="23"/>
    </row>
    <row r="139" spans="1:9" ht="12.9" customHeight="1">
      <c r="A139" s="17" t="s">
        <v>1456</v>
      </c>
      <c r="B139" s="18" t="s">
        <v>1457</v>
      </c>
      <c r="C139" s="14" t="s">
        <v>1458</v>
      </c>
      <c r="D139" s="14" t="s">
        <v>109</v>
      </c>
      <c r="E139" s="19">
        <v>1900</v>
      </c>
      <c r="F139" s="20">
        <v>1912.7414000000001</v>
      </c>
      <c r="G139" s="21">
        <v>1.5E-3</v>
      </c>
      <c r="H139" s="22">
        <v>6.8699999999999997E-2</v>
      </c>
      <c r="I139" s="23"/>
    </row>
    <row r="140" spans="1:9" ht="12.9" customHeight="1">
      <c r="A140" s="17" t="s">
        <v>2693</v>
      </c>
      <c r="B140" s="18" t="s">
        <v>2694</v>
      </c>
      <c r="C140" s="14" t="s">
        <v>2695</v>
      </c>
      <c r="D140" s="14" t="s">
        <v>84</v>
      </c>
      <c r="E140" s="19">
        <v>2552400</v>
      </c>
      <c r="F140" s="20">
        <v>1631.1546000000001</v>
      </c>
      <c r="G140" s="21">
        <v>1.2999999999999999E-3</v>
      </c>
      <c r="H140" s="22">
        <v>6.9811999999999999E-2</v>
      </c>
      <c r="I140" s="23"/>
    </row>
    <row r="141" spans="1:9" ht="12.9" customHeight="1">
      <c r="A141" s="17" t="s">
        <v>2696</v>
      </c>
      <c r="B141" s="18" t="s">
        <v>2697</v>
      </c>
      <c r="C141" s="14" t="s">
        <v>2698</v>
      </c>
      <c r="D141" s="14" t="s">
        <v>84</v>
      </c>
      <c r="E141" s="19">
        <v>2518500</v>
      </c>
      <c r="F141" s="20">
        <v>1586.6977999999999</v>
      </c>
      <c r="G141" s="21">
        <v>1.1999999999999999E-3</v>
      </c>
      <c r="H141" s="22">
        <v>6.9988999999999996E-2</v>
      </c>
      <c r="I141" s="23"/>
    </row>
    <row r="142" spans="1:9" ht="12.9" customHeight="1">
      <c r="A142" s="17" t="s">
        <v>2699</v>
      </c>
      <c r="B142" s="18" t="s">
        <v>2700</v>
      </c>
      <c r="C142" s="14" t="s">
        <v>2701</v>
      </c>
      <c r="D142" s="14" t="s">
        <v>84</v>
      </c>
      <c r="E142" s="19">
        <v>1690000</v>
      </c>
      <c r="F142" s="20">
        <v>1533.9504999999999</v>
      </c>
      <c r="G142" s="21">
        <v>1.1999999999999999E-3</v>
      </c>
      <c r="H142" s="22">
        <v>5.9246E-2</v>
      </c>
      <c r="I142" s="23"/>
    </row>
    <row r="143" spans="1:9" ht="12.9" customHeight="1">
      <c r="A143" s="17" t="s">
        <v>2702</v>
      </c>
      <c r="B143" s="18" t="s">
        <v>2703</v>
      </c>
      <c r="C143" s="14" t="s">
        <v>2704</v>
      </c>
      <c r="D143" s="14" t="s">
        <v>895</v>
      </c>
      <c r="E143" s="19">
        <v>1500</v>
      </c>
      <c r="F143" s="20">
        <v>1533.0825</v>
      </c>
      <c r="G143" s="21">
        <v>1.1999999999999999E-3</v>
      </c>
      <c r="H143" s="22">
        <v>7.5899999999999995E-2</v>
      </c>
      <c r="I143" s="23"/>
    </row>
    <row r="144" spans="1:9" ht="12.9" customHeight="1">
      <c r="A144" s="17" t="s">
        <v>2705</v>
      </c>
      <c r="B144" s="18" t="s">
        <v>2706</v>
      </c>
      <c r="C144" s="14" t="s">
        <v>2707</v>
      </c>
      <c r="D144" s="14" t="s">
        <v>109</v>
      </c>
      <c r="E144" s="19">
        <v>1500</v>
      </c>
      <c r="F144" s="20">
        <v>1521.6434999999999</v>
      </c>
      <c r="G144" s="21">
        <v>1.1999999999999999E-3</v>
      </c>
      <c r="H144" s="22">
        <v>7.2800000000000004E-2</v>
      </c>
      <c r="I144" s="23"/>
    </row>
    <row r="145" spans="1:9" ht="12.9" customHeight="1">
      <c r="A145" s="17" t="s">
        <v>988</v>
      </c>
      <c r="B145" s="18" t="s">
        <v>989</v>
      </c>
      <c r="C145" s="14" t="s">
        <v>990</v>
      </c>
      <c r="D145" s="14" t="s">
        <v>109</v>
      </c>
      <c r="E145" s="19">
        <v>1500</v>
      </c>
      <c r="F145" s="20">
        <v>1509.585</v>
      </c>
      <c r="G145" s="21">
        <v>1.1999999999999999E-3</v>
      </c>
      <c r="H145" s="22">
        <v>7.2724999999999998E-2</v>
      </c>
      <c r="I145" s="23"/>
    </row>
    <row r="146" spans="1:9" ht="12.9" customHeight="1">
      <c r="A146" s="17" t="s">
        <v>2708</v>
      </c>
      <c r="B146" s="18" t="s">
        <v>2709</v>
      </c>
      <c r="C146" s="14" t="s">
        <v>2710</v>
      </c>
      <c r="D146" s="14" t="s">
        <v>109</v>
      </c>
      <c r="E146" s="19">
        <v>150</v>
      </c>
      <c r="F146" s="20">
        <v>1492.4265</v>
      </c>
      <c r="G146" s="21">
        <v>1.1999999999999999E-3</v>
      </c>
      <c r="H146" s="22">
        <v>6.7250000000000004E-2</v>
      </c>
      <c r="I146" s="23"/>
    </row>
    <row r="147" spans="1:9" ht="12.9" customHeight="1">
      <c r="A147" s="17" t="s">
        <v>2711</v>
      </c>
      <c r="B147" s="18" t="s">
        <v>2712</v>
      </c>
      <c r="C147" s="14" t="s">
        <v>2713</v>
      </c>
      <c r="D147" s="14" t="s">
        <v>84</v>
      </c>
      <c r="E147" s="19">
        <v>1541400</v>
      </c>
      <c r="F147" s="20">
        <v>1300.7674</v>
      </c>
      <c r="G147" s="21">
        <v>1E-3</v>
      </c>
      <c r="H147" s="22">
        <v>6.1378000000000002E-2</v>
      </c>
      <c r="I147" s="23"/>
    </row>
    <row r="148" spans="1:9" ht="12.9" customHeight="1">
      <c r="A148" s="17" t="s">
        <v>2714</v>
      </c>
      <c r="B148" s="18" t="s">
        <v>2715</v>
      </c>
      <c r="C148" s="14" t="s">
        <v>2716</v>
      </c>
      <c r="D148" s="14" t="s">
        <v>84</v>
      </c>
      <c r="E148" s="19">
        <v>1162000</v>
      </c>
      <c r="F148" s="20">
        <v>1203.6378999999999</v>
      </c>
      <c r="G148" s="21">
        <v>8.9999999999999998E-4</v>
      </c>
      <c r="H148" s="22"/>
      <c r="I148" s="23"/>
    </row>
    <row r="149" spans="1:9" ht="12.9" customHeight="1">
      <c r="A149" s="17" t="s">
        <v>1715</v>
      </c>
      <c r="B149" s="18" t="s">
        <v>1716</v>
      </c>
      <c r="C149" s="14" t="s">
        <v>1717</v>
      </c>
      <c r="D149" s="14" t="s">
        <v>109</v>
      </c>
      <c r="E149" s="19">
        <v>119</v>
      </c>
      <c r="F149" s="20">
        <v>1189.9691</v>
      </c>
      <c r="G149" s="21">
        <v>8.9999999999999998E-4</v>
      </c>
      <c r="H149" s="22">
        <v>5.7544999999999999E-2</v>
      </c>
      <c r="I149" s="23"/>
    </row>
    <row r="150" spans="1:9" ht="12.9" customHeight="1">
      <c r="A150" s="17" t="s">
        <v>2717</v>
      </c>
      <c r="B150" s="18" t="s">
        <v>2718</v>
      </c>
      <c r="C150" s="14" t="s">
        <v>2719</v>
      </c>
      <c r="D150" s="14" t="s">
        <v>84</v>
      </c>
      <c r="E150" s="19">
        <v>1000000</v>
      </c>
      <c r="F150" s="20">
        <v>1025.32</v>
      </c>
      <c r="G150" s="21">
        <v>8.0000000000000004E-4</v>
      </c>
      <c r="H150" s="22">
        <v>6.7216999999999999E-2</v>
      </c>
      <c r="I150" s="23"/>
    </row>
    <row r="151" spans="1:9" ht="12.9" customHeight="1">
      <c r="A151" s="17" t="s">
        <v>439</v>
      </c>
      <c r="B151" s="18" t="s">
        <v>440</v>
      </c>
      <c r="C151" s="14" t="s">
        <v>441</v>
      </c>
      <c r="D151" s="14" t="s">
        <v>109</v>
      </c>
      <c r="E151" s="19">
        <v>1000</v>
      </c>
      <c r="F151" s="20">
        <v>1014.5549999999999</v>
      </c>
      <c r="G151" s="21">
        <v>8.0000000000000004E-4</v>
      </c>
      <c r="H151" s="22">
        <v>6.7349999999999993E-2</v>
      </c>
      <c r="I151" s="23"/>
    </row>
    <row r="152" spans="1:9" ht="12.9" customHeight="1">
      <c r="A152" s="17" t="s">
        <v>2720</v>
      </c>
      <c r="B152" s="18" t="s">
        <v>2721</v>
      </c>
      <c r="C152" s="14" t="s">
        <v>2722</v>
      </c>
      <c r="D152" s="14" t="s">
        <v>895</v>
      </c>
      <c r="E152" s="19">
        <v>1000</v>
      </c>
      <c r="F152" s="20">
        <v>1004.609</v>
      </c>
      <c r="G152" s="21">
        <v>8.0000000000000004E-4</v>
      </c>
      <c r="H152" s="22">
        <v>7.2900999999999994E-2</v>
      </c>
      <c r="I152" s="23"/>
    </row>
    <row r="153" spans="1:9" ht="12.9" customHeight="1">
      <c r="A153" s="17" t="s">
        <v>2723</v>
      </c>
      <c r="B153" s="18" t="s">
        <v>2724</v>
      </c>
      <c r="C153" s="14" t="s">
        <v>2725</v>
      </c>
      <c r="D153" s="14" t="s">
        <v>84</v>
      </c>
      <c r="E153" s="19">
        <v>1063500</v>
      </c>
      <c r="F153" s="20">
        <v>997.26419999999996</v>
      </c>
      <c r="G153" s="21">
        <v>8.0000000000000004E-4</v>
      </c>
      <c r="H153" s="22">
        <v>5.8238999999999999E-2</v>
      </c>
      <c r="I153" s="23"/>
    </row>
    <row r="154" spans="1:9" ht="12.9" customHeight="1">
      <c r="A154" s="17" t="s">
        <v>2726</v>
      </c>
      <c r="B154" s="18" t="s">
        <v>2727</v>
      </c>
      <c r="C154" s="14" t="s">
        <v>2728</v>
      </c>
      <c r="D154" s="14" t="s">
        <v>84</v>
      </c>
      <c r="E154" s="19">
        <v>1063500</v>
      </c>
      <c r="F154" s="20">
        <v>935.75340000000006</v>
      </c>
      <c r="G154" s="21">
        <v>6.9999999999999999E-4</v>
      </c>
      <c r="H154" s="22">
        <v>6.1751E-2</v>
      </c>
      <c r="I154" s="23"/>
    </row>
    <row r="155" spans="1:9" ht="12.9" customHeight="1">
      <c r="A155" s="17" t="s">
        <v>2729</v>
      </c>
      <c r="B155" s="18" t="s">
        <v>2730</v>
      </c>
      <c r="C155" s="14" t="s">
        <v>2731</v>
      </c>
      <c r="D155" s="14" t="s">
        <v>84</v>
      </c>
      <c r="E155" s="19">
        <v>500000</v>
      </c>
      <c r="F155" s="20">
        <v>557.91049999999996</v>
      </c>
      <c r="G155" s="21">
        <v>4.0000000000000002E-4</v>
      </c>
      <c r="H155" s="22">
        <v>6.4535999999999996E-2</v>
      </c>
      <c r="I155" s="23"/>
    </row>
    <row r="156" spans="1:9" ht="12.9" customHeight="1">
      <c r="A156" s="17" t="s">
        <v>1182</v>
      </c>
      <c r="B156" s="18" t="s">
        <v>1183</v>
      </c>
      <c r="C156" s="14" t="s">
        <v>1184</v>
      </c>
      <c r="D156" s="14" t="s">
        <v>84</v>
      </c>
      <c r="E156" s="19">
        <v>500000</v>
      </c>
      <c r="F156" s="20">
        <v>519.35050000000001</v>
      </c>
      <c r="G156" s="21">
        <v>4.0000000000000002E-4</v>
      </c>
      <c r="H156" s="22">
        <v>6.4890000000000003E-2</v>
      </c>
      <c r="I156" s="23"/>
    </row>
    <row r="157" spans="1:9" ht="12.9" customHeight="1">
      <c r="A157" s="17" t="s">
        <v>2732</v>
      </c>
      <c r="B157" s="18" t="s">
        <v>2733</v>
      </c>
      <c r="C157" s="14" t="s">
        <v>2734</v>
      </c>
      <c r="D157" s="14" t="s">
        <v>109</v>
      </c>
      <c r="E157" s="19">
        <v>50</v>
      </c>
      <c r="F157" s="20">
        <v>519.06600000000003</v>
      </c>
      <c r="G157" s="21">
        <v>4.0000000000000002E-4</v>
      </c>
      <c r="H157" s="22">
        <v>6.905E-2</v>
      </c>
      <c r="I157" s="23"/>
    </row>
    <row r="158" spans="1:9" ht="12.9" customHeight="1">
      <c r="A158" s="17" t="s">
        <v>2735</v>
      </c>
      <c r="B158" s="18" t="s">
        <v>2736</v>
      </c>
      <c r="C158" s="14" t="s">
        <v>2737</v>
      </c>
      <c r="D158" s="14" t="s">
        <v>84</v>
      </c>
      <c r="E158" s="19">
        <v>500000</v>
      </c>
      <c r="F158" s="20">
        <v>514.59050000000002</v>
      </c>
      <c r="G158" s="21">
        <v>4.0000000000000002E-4</v>
      </c>
      <c r="H158" s="22">
        <v>6.2651999999999999E-2</v>
      </c>
      <c r="I158" s="23"/>
    </row>
    <row r="159" spans="1:9" ht="12.9" customHeight="1">
      <c r="A159" s="17" t="s">
        <v>2738</v>
      </c>
      <c r="B159" s="18" t="s">
        <v>2739</v>
      </c>
      <c r="C159" s="14" t="s">
        <v>2740</v>
      </c>
      <c r="D159" s="14" t="s">
        <v>109</v>
      </c>
      <c r="E159" s="19">
        <v>50</v>
      </c>
      <c r="F159" s="20">
        <v>514.06050000000005</v>
      </c>
      <c r="G159" s="21">
        <v>4.0000000000000002E-4</v>
      </c>
      <c r="H159" s="22">
        <v>7.0499000000000006E-2</v>
      </c>
      <c r="I159" s="23"/>
    </row>
    <row r="160" spans="1:9" ht="12.9" customHeight="1">
      <c r="A160" s="17" t="s">
        <v>818</v>
      </c>
      <c r="B160" s="18" t="s">
        <v>819</v>
      </c>
      <c r="C160" s="14" t="s">
        <v>820</v>
      </c>
      <c r="D160" s="14" t="s">
        <v>109</v>
      </c>
      <c r="E160" s="19">
        <v>500</v>
      </c>
      <c r="F160" s="20">
        <v>506.16500000000002</v>
      </c>
      <c r="G160" s="21">
        <v>4.0000000000000002E-4</v>
      </c>
      <c r="H160" s="22">
        <v>7.1800000000000003E-2</v>
      </c>
      <c r="I160" s="23"/>
    </row>
    <row r="161" spans="1:9" ht="12.9" customHeight="1">
      <c r="A161" s="17" t="s">
        <v>475</v>
      </c>
      <c r="B161" s="18" t="s">
        <v>476</v>
      </c>
      <c r="C161" s="14" t="s">
        <v>477</v>
      </c>
      <c r="D161" s="14" t="s">
        <v>109</v>
      </c>
      <c r="E161" s="19">
        <v>500</v>
      </c>
      <c r="F161" s="20">
        <v>505.30200000000002</v>
      </c>
      <c r="G161" s="21">
        <v>4.0000000000000002E-4</v>
      </c>
      <c r="H161" s="22">
        <v>7.1999999999999995E-2</v>
      </c>
      <c r="I161" s="23"/>
    </row>
    <row r="162" spans="1:9" ht="12.9" customHeight="1">
      <c r="A162" s="17" t="s">
        <v>2440</v>
      </c>
      <c r="B162" s="18" t="s">
        <v>2441</v>
      </c>
      <c r="C162" s="14" t="s">
        <v>2442</v>
      </c>
      <c r="D162" s="14" t="s">
        <v>109</v>
      </c>
      <c r="E162" s="19">
        <v>500</v>
      </c>
      <c r="F162" s="20">
        <v>505.2355</v>
      </c>
      <c r="G162" s="21">
        <v>4.0000000000000002E-4</v>
      </c>
      <c r="H162" s="22">
        <v>6.9750000000000006E-2</v>
      </c>
      <c r="I162" s="23"/>
    </row>
    <row r="163" spans="1:9" ht="12.9" customHeight="1">
      <c r="A163" s="17" t="s">
        <v>134</v>
      </c>
      <c r="B163" s="18" t="s">
        <v>135</v>
      </c>
      <c r="C163" s="14" t="s">
        <v>136</v>
      </c>
      <c r="D163" s="14" t="s">
        <v>109</v>
      </c>
      <c r="E163" s="19">
        <v>50</v>
      </c>
      <c r="F163" s="20">
        <v>501.54700000000003</v>
      </c>
      <c r="G163" s="21">
        <v>4.0000000000000002E-4</v>
      </c>
      <c r="H163" s="22">
        <v>6.2751000000000001E-2</v>
      </c>
      <c r="I163" s="23"/>
    </row>
    <row r="164" spans="1:9" ht="12.9" customHeight="1">
      <c r="A164" s="17" t="s">
        <v>2741</v>
      </c>
      <c r="B164" s="18" t="s">
        <v>2742</v>
      </c>
      <c r="C164" s="14" t="s">
        <v>2743</v>
      </c>
      <c r="D164" s="14" t="s">
        <v>84</v>
      </c>
      <c r="E164" s="19">
        <v>500000</v>
      </c>
      <c r="F164" s="20">
        <v>498.97649999999999</v>
      </c>
      <c r="G164" s="21">
        <v>4.0000000000000002E-4</v>
      </c>
      <c r="H164" s="22">
        <v>6.8510000000000001E-2</v>
      </c>
      <c r="I164" s="23"/>
    </row>
    <row r="165" spans="1:9" ht="12.9" customHeight="1">
      <c r="A165" s="17" t="s">
        <v>2744</v>
      </c>
      <c r="B165" s="18" t="s">
        <v>2745</v>
      </c>
      <c r="C165" s="14" t="s">
        <v>2746</v>
      </c>
      <c r="D165" s="14" t="s">
        <v>109</v>
      </c>
      <c r="E165" s="19">
        <v>50</v>
      </c>
      <c r="F165" s="20">
        <v>498.84500000000003</v>
      </c>
      <c r="G165" s="21">
        <v>4.0000000000000002E-4</v>
      </c>
      <c r="H165" s="22">
        <v>6.7599000000000006E-2</v>
      </c>
      <c r="I165" s="23"/>
    </row>
    <row r="166" spans="1:9" ht="12.9" customHeight="1">
      <c r="A166" s="17" t="s">
        <v>950</v>
      </c>
      <c r="B166" s="18" t="s">
        <v>951</v>
      </c>
      <c r="C166" s="14" t="s">
        <v>952</v>
      </c>
      <c r="D166" s="14" t="s">
        <v>84</v>
      </c>
      <c r="E166" s="19">
        <v>484600</v>
      </c>
      <c r="F166" s="20">
        <v>496.08449999999999</v>
      </c>
      <c r="G166" s="21">
        <v>4.0000000000000002E-4</v>
      </c>
      <c r="H166" s="22">
        <v>5.8015999999999998E-2</v>
      </c>
      <c r="I166" s="23"/>
    </row>
    <row r="167" spans="1:9" ht="12.9" customHeight="1">
      <c r="A167" s="17" t="s">
        <v>1505</v>
      </c>
      <c r="B167" s="18" t="s">
        <v>1506</v>
      </c>
      <c r="C167" s="14" t="s">
        <v>1507</v>
      </c>
      <c r="D167" s="14" t="s">
        <v>84</v>
      </c>
      <c r="E167" s="19">
        <v>479400</v>
      </c>
      <c r="F167" s="20">
        <v>494.98</v>
      </c>
      <c r="G167" s="21">
        <v>4.0000000000000002E-4</v>
      </c>
      <c r="H167" s="22">
        <v>6.0756999999999999E-2</v>
      </c>
      <c r="I167" s="23"/>
    </row>
    <row r="168" spans="1:9" ht="12.9" customHeight="1">
      <c r="A168" s="17" t="s">
        <v>481</v>
      </c>
      <c r="B168" s="18" t="s">
        <v>482</v>
      </c>
      <c r="C168" s="14" t="s">
        <v>483</v>
      </c>
      <c r="D168" s="14" t="s">
        <v>372</v>
      </c>
      <c r="E168" s="19">
        <v>454</v>
      </c>
      <c r="F168" s="20">
        <v>459.01260000000002</v>
      </c>
      <c r="G168" s="21">
        <v>4.0000000000000002E-4</v>
      </c>
      <c r="H168" s="22">
        <v>6.8199999999999997E-2</v>
      </c>
      <c r="I168" s="23"/>
    </row>
    <row r="169" spans="1:9" ht="12.9" customHeight="1">
      <c r="A169" s="17" t="s">
        <v>922</v>
      </c>
      <c r="B169" s="18" t="s">
        <v>923</v>
      </c>
      <c r="C169" s="14" t="s">
        <v>924</v>
      </c>
      <c r="D169" s="14" t="s">
        <v>84</v>
      </c>
      <c r="E169" s="19">
        <v>455600</v>
      </c>
      <c r="F169" s="20">
        <v>456.27289999999999</v>
      </c>
      <c r="G169" s="21">
        <v>4.0000000000000002E-4</v>
      </c>
      <c r="H169" s="22">
        <v>5.1506000000000003E-2</v>
      </c>
      <c r="I169" s="23"/>
    </row>
    <row r="170" spans="1:9" ht="12.9" customHeight="1">
      <c r="A170" s="17" t="s">
        <v>2747</v>
      </c>
      <c r="B170" s="18" t="s">
        <v>2748</v>
      </c>
      <c r="C170" s="14" t="s">
        <v>2749</v>
      </c>
      <c r="D170" s="14" t="s">
        <v>84</v>
      </c>
      <c r="E170" s="19">
        <v>452300</v>
      </c>
      <c r="F170" s="20">
        <v>452.18779999999998</v>
      </c>
      <c r="G170" s="21">
        <v>4.0000000000000002E-4</v>
      </c>
      <c r="H170" s="22">
        <v>6.7847000000000005E-2</v>
      </c>
      <c r="I170" s="23"/>
    </row>
    <row r="171" spans="1:9" ht="12.9" customHeight="1">
      <c r="A171" s="17" t="s">
        <v>2750</v>
      </c>
      <c r="B171" s="18" t="s">
        <v>2751</v>
      </c>
      <c r="C171" s="14" t="s">
        <v>2752</v>
      </c>
      <c r="D171" s="14" t="s">
        <v>84</v>
      </c>
      <c r="E171" s="19">
        <v>410900</v>
      </c>
      <c r="F171" s="20">
        <v>410.78820000000002</v>
      </c>
      <c r="G171" s="21">
        <v>2.9999999999999997E-4</v>
      </c>
      <c r="H171" s="22">
        <v>6.7543000000000006E-2</v>
      </c>
      <c r="I171" s="23"/>
    </row>
    <row r="172" spans="1:9" ht="12.9" customHeight="1">
      <c r="A172" s="17" t="s">
        <v>1007</v>
      </c>
      <c r="B172" s="18" t="s">
        <v>1008</v>
      </c>
      <c r="C172" s="14" t="s">
        <v>1009</v>
      </c>
      <c r="D172" s="14" t="s">
        <v>84</v>
      </c>
      <c r="E172" s="19">
        <v>418400</v>
      </c>
      <c r="F172" s="20">
        <v>405.59609999999998</v>
      </c>
      <c r="G172" s="21">
        <v>2.9999999999999997E-4</v>
      </c>
      <c r="H172" s="22">
        <v>7.1414000000000005E-2</v>
      </c>
      <c r="I172" s="23"/>
    </row>
    <row r="173" spans="1:9" ht="12.9" customHeight="1">
      <c r="A173" s="17" t="s">
        <v>2753</v>
      </c>
      <c r="B173" s="18" t="s">
        <v>2754</v>
      </c>
      <c r="C173" s="14" t="s">
        <v>2755</v>
      </c>
      <c r="D173" s="14" t="s">
        <v>1448</v>
      </c>
      <c r="E173" s="19">
        <v>39254</v>
      </c>
      <c r="F173" s="20">
        <v>397.43419999999998</v>
      </c>
      <c r="G173" s="21">
        <v>2.9999999999999997E-4</v>
      </c>
      <c r="H173" s="22">
        <v>7.2732000000000005E-2</v>
      </c>
      <c r="I173" s="23"/>
    </row>
    <row r="174" spans="1:9" ht="12.9" customHeight="1">
      <c r="A174" s="17" t="s">
        <v>1191</v>
      </c>
      <c r="B174" s="18" t="s">
        <v>1192</v>
      </c>
      <c r="C174" s="14" t="s">
        <v>1193</v>
      </c>
      <c r="D174" s="14" t="s">
        <v>84</v>
      </c>
      <c r="E174" s="19">
        <v>359600</v>
      </c>
      <c r="F174" s="20">
        <v>374.34359999999998</v>
      </c>
      <c r="G174" s="21">
        <v>2.9999999999999997E-4</v>
      </c>
      <c r="H174" s="22">
        <v>5.8698E-2</v>
      </c>
      <c r="I174" s="23"/>
    </row>
    <row r="175" spans="1:9" ht="12.9" customHeight="1">
      <c r="A175" s="17" t="s">
        <v>1170</v>
      </c>
      <c r="B175" s="18" t="s">
        <v>1171</v>
      </c>
      <c r="C175" s="14" t="s">
        <v>1172</v>
      </c>
      <c r="D175" s="14" t="s">
        <v>84</v>
      </c>
      <c r="E175" s="19">
        <v>339100</v>
      </c>
      <c r="F175" s="20">
        <v>350.3381</v>
      </c>
      <c r="G175" s="21">
        <v>2.9999999999999997E-4</v>
      </c>
      <c r="H175" s="22">
        <v>6.3805000000000001E-2</v>
      </c>
      <c r="I175" s="23"/>
    </row>
    <row r="176" spans="1:9" ht="12.9" customHeight="1">
      <c r="A176" s="17" t="s">
        <v>2756</v>
      </c>
      <c r="B176" s="18" t="s">
        <v>2757</v>
      </c>
      <c r="C176" s="14" t="s">
        <v>2758</v>
      </c>
      <c r="D176" s="14" t="s">
        <v>84</v>
      </c>
      <c r="E176" s="19">
        <v>333600</v>
      </c>
      <c r="F176" s="20">
        <v>340.76839999999999</v>
      </c>
      <c r="G176" s="21">
        <v>2.9999999999999997E-4</v>
      </c>
      <c r="H176" s="22">
        <v>6.2323000000000003E-2</v>
      </c>
      <c r="I176" s="23"/>
    </row>
    <row r="177" spans="1:9" ht="12.9" customHeight="1">
      <c r="A177" s="17" t="s">
        <v>1438</v>
      </c>
      <c r="B177" s="18" t="s">
        <v>1439</v>
      </c>
      <c r="C177" s="14" t="s">
        <v>1440</v>
      </c>
      <c r="D177" s="14" t="s">
        <v>84</v>
      </c>
      <c r="E177" s="19">
        <v>297600</v>
      </c>
      <c r="F177" s="20">
        <v>294.89269999999999</v>
      </c>
      <c r="G177" s="21">
        <v>2.0000000000000001E-4</v>
      </c>
      <c r="H177" s="22">
        <v>7.5480000000000005E-2</v>
      </c>
      <c r="I177" s="23"/>
    </row>
    <row r="178" spans="1:9" ht="12.9" customHeight="1">
      <c r="A178" s="17" t="s">
        <v>1292</v>
      </c>
      <c r="B178" s="18" t="s">
        <v>1293</v>
      </c>
      <c r="C178" s="14" t="s">
        <v>1294</v>
      </c>
      <c r="D178" s="14" t="s">
        <v>84</v>
      </c>
      <c r="E178" s="19">
        <v>251700</v>
      </c>
      <c r="F178" s="20">
        <v>251.0214</v>
      </c>
      <c r="G178" s="21">
        <v>2.0000000000000001E-4</v>
      </c>
      <c r="H178" s="22">
        <v>7.4568999999999996E-2</v>
      </c>
      <c r="I178" s="23"/>
    </row>
    <row r="179" spans="1:9" ht="12.9" customHeight="1">
      <c r="A179" s="17" t="s">
        <v>2759</v>
      </c>
      <c r="B179" s="18" t="s">
        <v>2760</v>
      </c>
      <c r="C179" s="14" t="s">
        <v>2761</v>
      </c>
      <c r="D179" s="14" t="s">
        <v>84</v>
      </c>
      <c r="E179" s="19">
        <v>244400</v>
      </c>
      <c r="F179" s="20">
        <v>244.72919999999999</v>
      </c>
      <c r="G179" s="21">
        <v>2.0000000000000001E-4</v>
      </c>
      <c r="H179" s="22">
        <v>7.2672E-2</v>
      </c>
      <c r="I179" s="23"/>
    </row>
    <row r="180" spans="1:9" ht="12.9" customHeight="1">
      <c r="A180" s="17" t="s">
        <v>2762</v>
      </c>
      <c r="B180" s="18" t="s">
        <v>2763</v>
      </c>
      <c r="C180" s="14" t="s">
        <v>2764</v>
      </c>
      <c r="D180" s="14" t="s">
        <v>84</v>
      </c>
      <c r="E180" s="19">
        <v>240400</v>
      </c>
      <c r="F180" s="20">
        <v>243.90979999999999</v>
      </c>
      <c r="G180" s="21">
        <v>2.0000000000000001E-4</v>
      </c>
      <c r="H180" s="22">
        <v>5.7766999999999999E-2</v>
      </c>
      <c r="I180" s="23"/>
    </row>
    <row r="181" spans="1:9" ht="12.9" customHeight="1">
      <c r="A181" s="17" t="s">
        <v>1724</v>
      </c>
      <c r="B181" s="18" t="s">
        <v>1725</v>
      </c>
      <c r="C181" s="14" t="s">
        <v>1726</v>
      </c>
      <c r="D181" s="14" t="s">
        <v>84</v>
      </c>
      <c r="E181" s="19">
        <v>210000</v>
      </c>
      <c r="F181" s="20">
        <v>214.8485</v>
      </c>
      <c r="G181" s="21">
        <v>2.0000000000000001E-4</v>
      </c>
      <c r="H181" s="22">
        <v>5.663E-2</v>
      </c>
      <c r="I181" s="23"/>
    </row>
    <row r="182" spans="1:9" ht="12.9" customHeight="1">
      <c r="A182" s="17" t="s">
        <v>1718</v>
      </c>
      <c r="B182" s="18" t="s">
        <v>1719</v>
      </c>
      <c r="C182" s="14" t="s">
        <v>1720</v>
      </c>
      <c r="D182" s="14" t="s">
        <v>84</v>
      </c>
      <c r="E182" s="19">
        <v>200000</v>
      </c>
      <c r="F182" s="20">
        <v>207.70760000000001</v>
      </c>
      <c r="G182" s="21">
        <v>2.0000000000000001E-4</v>
      </c>
      <c r="H182" s="22">
        <v>5.9568000000000003E-2</v>
      </c>
      <c r="I182" s="23"/>
    </row>
    <row r="183" spans="1:9" ht="12.9" customHeight="1">
      <c r="A183" s="17" t="s">
        <v>1224</v>
      </c>
      <c r="B183" s="18" t="s">
        <v>1225</v>
      </c>
      <c r="C183" s="14" t="s">
        <v>1226</v>
      </c>
      <c r="D183" s="14" t="s">
        <v>84</v>
      </c>
      <c r="E183" s="19">
        <v>200000</v>
      </c>
      <c r="F183" s="20">
        <v>203.93520000000001</v>
      </c>
      <c r="G183" s="21">
        <v>2.0000000000000001E-4</v>
      </c>
      <c r="H183" s="22">
        <v>6.1693999999999999E-2</v>
      </c>
      <c r="I183" s="23"/>
    </row>
    <row r="184" spans="1:9" ht="12.9" customHeight="1">
      <c r="A184" s="17" t="s">
        <v>1236</v>
      </c>
      <c r="B184" s="18" t="s">
        <v>1237</v>
      </c>
      <c r="C184" s="14" t="s">
        <v>1238</v>
      </c>
      <c r="D184" s="14" t="s">
        <v>84</v>
      </c>
      <c r="E184" s="19">
        <v>200000</v>
      </c>
      <c r="F184" s="20">
        <v>203.79519999999999</v>
      </c>
      <c r="G184" s="21">
        <v>2.0000000000000001E-4</v>
      </c>
      <c r="H184" s="22">
        <v>6.2114000000000003E-2</v>
      </c>
      <c r="I184" s="23"/>
    </row>
    <row r="185" spans="1:9" ht="12.9" customHeight="1">
      <c r="A185" s="17" t="s">
        <v>913</v>
      </c>
      <c r="B185" s="18" t="s">
        <v>914</v>
      </c>
      <c r="C185" s="14" t="s">
        <v>915</v>
      </c>
      <c r="D185" s="14" t="s">
        <v>84</v>
      </c>
      <c r="E185" s="19">
        <v>200000</v>
      </c>
      <c r="F185" s="20">
        <v>196.3852</v>
      </c>
      <c r="G185" s="21">
        <v>2.0000000000000001E-4</v>
      </c>
      <c r="H185" s="22">
        <v>6.5957000000000002E-2</v>
      </c>
      <c r="I185" s="23"/>
    </row>
    <row r="186" spans="1:9" ht="12.9" customHeight="1">
      <c r="A186" s="17" t="s">
        <v>406</v>
      </c>
      <c r="B186" s="18" t="s">
        <v>407</v>
      </c>
      <c r="C186" s="14" t="s">
        <v>408</v>
      </c>
      <c r="D186" s="14" t="s">
        <v>84</v>
      </c>
      <c r="E186" s="19">
        <v>150000</v>
      </c>
      <c r="F186" s="20">
        <v>155.24</v>
      </c>
      <c r="G186" s="21">
        <v>1E-4</v>
      </c>
      <c r="H186" s="22">
        <v>6.7457000000000003E-2</v>
      </c>
      <c r="I186" s="23"/>
    </row>
    <row r="187" spans="1:9" ht="12.9" customHeight="1">
      <c r="A187" s="17" t="s">
        <v>889</v>
      </c>
      <c r="B187" s="18" t="s">
        <v>890</v>
      </c>
      <c r="C187" s="14" t="s">
        <v>891</v>
      </c>
      <c r="D187" s="14" t="s">
        <v>84</v>
      </c>
      <c r="E187" s="19">
        <v>125200</v>
      </c>
      <c r="F187" s="20">
        <v>128.7056</v>
      </c>
      <c r="G187" s="21">
        <v>1E-4</v>
      </c>
      <c r="H187" s="22">
        <v>6.7644999999999997E-2</v>
      </c>
      <c r="I187" s="23"/>
    </row>
    <row r="188" spans="1:9" ht="12.9" customHeight="1">
      <c r="A188" s="17" t="s">
        <v>329</v>
      </c>
      <c r="B188" s="18" t="s">
        <v>330</v>
      </c>
      <c r="C188" s="14" t="s">
        <v>331</v>
      </c>
      <c r="D188" s="14" t="s">
        <v>84</v>
      </c>
      <c r="E188" s="19">
        <v>126700</v>
      </c>
      <c r="F188" s="20">
        <v>127.8039</v>
      </c>
      <c r="G188" s="21">
        <v>1E-4</v>
      </c>
      <c r="H188" s="22">
        <v>6.7664000000000002E-2</v>
      </c>
      <c r="I188" s="23"/>
    </row>
    <row r="189" spans="1:9" ht="12.9" customHeight="1">
      <c r="A189" s="17" t="s">
        <v>724</v>
      </c>
      <c r="B189" s="18" t="s">
        <v>725</v>
      </c>
      <c r="C189" s="14" t="s">
        <v>726</v>
      </c>
      <c r="D189" s="14" t="s">
        <v>84</v>
      </c>
      <c r="E189" s="19">
        <v>127200</v>
      </c>
      <c r="F189" s="20">
        <v>126.58320000000001</v>
      </c>
      <c r="G189" s="21">
        <v>1E-4</v>
      </c>
      <c r="H189" s="22">
        <v>7.0957000000000006E-2</v>
      </c>
      <c r="I189" s="23"/>
    </row>
    <row r="190" spans="1:9" ht="12.9" customHeight="1">
      <c r="A190" s="17" t="s">
        <v>2765</v>
      </c>
      <c r="B190" s="18" t="s">
        <v>2766</v>
      </c>
      <c r="C190" s="14" t="s">
        <v>2767</v>
      </c>
      <c r="D190" s="14" t="s">
        <v>1025</v>
      </c>
      <c r="E190" s="19">
        <v>10</v>
      </c>
      <c r="F190" s="20">
        <v>101.8691</v>
      </c>
      <c r="G190" s="21">
        <v>1E-4</v>
      </c>
      <c r="H190" s="22">
        <v>7.0849999999999996E-2</v>
      </c>
      <c r="I190" s="23"/>
    </row>
    <row r="191" spans="1:9" ht="12.9" customHeight="1">
      <c r="A191" s="17" t="s">
        <v>2768</v>
      </c>
      <c r="B191" s="18" t="s">
        <v>2769</v>
      </c>
      <c r="C191" s="14" t="s">
        <v>2770</v>
      </c>
      <c r="D191" s="14" t="s">
        <v>84</v>
      </c>
      <c r="E191" s="19">
        <v>68700</v>
      </c>
      <c r="F191" s="20">
        <v>70.168499999999995</v>
      </c>
      <c r="G191" s="21">
        <v>1E-4</v>
      </c>
      <c r="H191" s="22">
        <v>6.2770999999999993E-2</v>
      </c>
      <c r="I191" s="23"/>
    </row>
    <row r="192" spans="1:9" ht="12.9" customHeight="1">
      <c r="A192" s="17" t="s">
        <v>956</v>
      </c>
      <c r="B192" s="18" t="s">
        <v>957</v>
      </c>
      <c r="C192" s="14" t="s">
        <v>958</v>
      </c>
      <c r="D192" s="14" t="s">
        <v>84</v>
      </c>
      <c r="E192" s="19">
        <v>50000</v>
      </c>
      <c r="F192" s="20">
        <v>50.839599999999997</v>
      </c>
      <c r="G192" s="30" t="s">
        <v>95</v>
      </c>
      <c r="H192" s="22">
        <v>6.1289999999999997E-2</v>
      </c>
      <c r="I192" s="23"/>
    </row>
    <row r="193" spans="1:9" ht="12.9" customHeight="1">
      <c r="A193" s="17" t="s">
        <v>2771</v>
      </c>
      <c r="B193" s="18" t="s">
        <v>2772</v>
      </c>
      <c r="C193" s="14" t="s">
        <v>2773</v>
      </c>
      <c r="D193" s="14" t="s">
        <v>109</v>
      </c>
      <c r="E193" s="19">
        <v>5</v>
      </c>
      <c r="F193" s="20">
        <v>50.782600000000002</v>
      </c>
      <c r="G193" s="30" t="s">
        <v>95</v>
      </c>
      <c r="H193" s="22">
        <v>7.1275000000000005E-2</v>
      </c>
      <c r="I193" s="23"/>
    </row>
    <row r="194" spans="1:9" ht="12.9" customHeight="1">
      <c r="A194" s="17" t="s">
        <v>2774</v>
      </c>
      <c r="B194" s="18" t="s">
        <v>2775</v>
      </c>
      <c r="C194" s="14" t="s">
        <v>2776</v>
      </c>
      <c r="D194" s="14" t="s">
        <v>109</v>
      </c>
      <c r="E194" s="19">
        <v>50</v>
      </c>
      <c r="F194" s="20">
        <v>50.182200000000002</v>
      </c>
      <c r="G194" s="30" t="s">
        <v>95</v>
      </c>
      <c r="H194" s="22">
        <v>6.9449999999999998E-2</v>
      </c>
      <c r="I194" s="23"/>
    </row>
    <row r="195" spans="1:9" ht="12.9" customHeight="1">
      <c r="A195" s="17" t="s">
        <v>1406</v>
      </c>
      <c r="B195" s="18" t="s">
        <v>1407</v>
      </c>
      <c r="C195" s="14" t="s">
        <v>1408</v>
      </c>
      <c r="D195" s="14" t="s">
        <v>84</v>
      </c>
      <c r="E195" s="19">
        <v>35000</v>
      </c>
      <c r="F195" s="20">
        <v>37.211399999999998</v>
      </c>
      <c r="G195" s="30" t="s">
        <v>95</v>
      </c>
      <c r="H195" s="22">
        <v>5.8902999999999997E-2</v>
      </c>
      <c r="I195" s="23"/>
    </row>
    <row r="196" spans="1:9" ht="12.9" customHeight="1">
      <c r="A196" s="17" t="s">
        <v>1158</v>
      </c>
      <c r="B196" s="18" t="s">
        <v>1159</v>
      </c>
      <c r="C196" s="14" t="s">
        <v>1160</v>
      </c>
      <c r="D196" s="14" t="s">
        <v>84</v>
      </c>
      <c r="E196" s="19">
        <v>31100</v>
      </c>
      <c r="F196" s="20">
        <v>31.785799999999998</v>
      </c>
      <c r="G196" s="30" t="s">
        <v>95</v>
      </c>
      <c r="H196" s="22">
        <v>7.0184999999999997E-2</v>
      </c>
      <c r="I196" s="23"/>
    </row>
    <row r="197" spans="1:9" ht="12.9" customHeight="1">
      <c r="A197" s="17" t="s">
        <v>1727</v>
      </c>
      <c r="B197" s="18" t="s">
        <v>1728</v>
      </c>
      <c r="C197" s="14" t="s">
        <v>1729</v>
      </c>
      <c r="D197" s="14" t="s">
        <v>84</v>
      </c>
      <c r="E197" s="19">
        <v>20800</v>
      </c>
      <c r="F197" s="20">
        <v>21.840299999999999</v>
      </c>
      <c r="G197" s="30" t="s">
        <v>95</v>
      </c>
      <c r="H197" s="22">
        <v>5.9638999999999998E-2</v>
      </c>
      <c r="I197" s="23"/>
    </row>
    <row r="198" spans="1:9" ht="12.9" customHeight="1">
      <c r="A198" s="17" t="s">
        <v>2777</v>
      </c>
      <c r="B198" s="18" t="s">
        <v>2778</v>
      </c>
      <c r="C198" s="14" t="s">
        <v>2779</v>
      </c>
      <c r="D198" s="14" t="s">
        <v>84</v>
      </c>
      <c r="E198" s="19">
        <v>17200</v>
      </c>
      <c r="F198" s="20">
        <v>17.485499999999998</v>
      </c>
      <c r="G198" s="30" t="s">
        <v>95</v>
      </c>
      <c r="H198" s="22">
        <v>6.7692000000000002E-2</v>
      </c>
      <c r="I198" s="23"/>
    </row>
    <row r="199" spans="1:9" ht="12.9" customHeight="1">
      <c r="A199" s="17" t="s">
        <v>2780</v>
      </c>
      <c r="B199" s="18" t="s">
        <v>2781</v>
      </c>
      <c r="C199" s="14" t="s">
        <v>2782</v>
      </c>
      <c r="D199" s="14" t="s">
        <v>84</v>
      </c>
      <c r="E199" s="19">
        <v>9000</v>
      </c>
      <c r="F199" s="20">
        <v>9.9901</v>
      </c>
      <c r="G199" s="30" t="s">
        <v>95</v>
      </c>
      <c r="H199" s="22">
        <v>6.4535999999999996E-2</v>
      </c>
      <c r="I199" s="23"/>
    </row>
    <row r="200" spans="1:9" ht="12.9" customHeight="1">
      <c r="A200" s="17" t="s">
        <v>2783</v>
      </c>
      <c r="B200" s="18" t="s">
        <v>2784</v>
      </c>
      <c r="C200" s="14" t="s">
        <v>2785</v>
      </c>
      <c r="D200" s="14" t="s">
        <v>84</v>
      </c>
      <c r="E200" s="19">
        <v>7600</v>
      </c>
      <c r="F200" s="20">
        <v>7.6607000000000003</v>
      </c>
      <c r="G200" s="30" t="s">
        <v>95</v>
      </c>
      <c r="H200" s="22">
        <v>7.4560000000000001E-2</v>
      </c>
      <c r="I200" s="23"/>
    </row>
    <row r="201" spans="1:9" ht="12.9" customHeight="1">
      <c r="A201" s="17" t="s">
        <v>718</v>
      </c>
      <c r="B201" s="18" t="s">
        <v>719</v>
      </c>
      <c r="C201" s="14" t="s">
        <v>720</v>
      </c>
      <c r="D201" s="14" t="s">
        <v>84</v>
      </c>
      <c r="E201" s="19">
        <v>6600</v>
      </c>
      <c r="F201" s="20">
        <v>6.4703999999999997</v>
      </c>
      <c r="G201" s="30" t="s">
        <v>95</v>
      </c>
      <c r="H201" s="22">
        <v>6.4051999999999998E-2</v>
      </c>
      <c r="I201" s="23"/>
    </row>
    <row r="202" spans="1:9" ht="12.9" customHeight="1">
      <c r="A202" s="17" t="s">
        <v>1709</v>
      </c>
      <c r="B202" s="18" t="s">
        <v>1710</v>
      </c>
      <c r="C202" s="14" t="s">
        <v>1711</v>
      </c>
      <c r="D202" s="14" t="s">
        <v>84</v>
      </c>
      <c r="E202" s="19">
        <v>200</v>
      </c>
      <c r="F202" s="20">
        <v>0.21229999999999999</v>
      </c>
      <c r="G202" s="30" t="s">
        <v>95</v>
      </c>
      <c r="H202" s="22">
        <v>6.3113000000000002E-2</v>
      </c>
      <c r="I202" s="23"/>
    </row>
    <row r="203" spans="1:9" ht="12.9" customHeight="1">
      <c r="A203" s="5"/>
      <c r="B203" s="13" t="s">
        <v>88</v>
      </c>
      <c r="C203" s="14"/>
      <c r="D203" s="14"/>
      <c r="E203" s="14"/>
      <c r="F203" s="24">
        <v>1101953.0201999999</v>
      </c>
      <c r="G203" s="25">
        <v>0.85409999999999997</v>
      </c>
      <c r="H203" s="26"/>
      <c r="I203" s="27"/>
    </row>
    <row r="204" spans="1:9" ht="12.9" customHeight="1">
      <c r="A204" s="5"/>
      <c r="B204" s="28" t="s">
        <v>89</v>
      </c>
      <c r="C204" s="2"/>
      <c r="D204" s="2"/>
      <c r="E204" s="2"/>
      <c r="F204" s="26" t="s">
        <v>90</v>
      </c>
      <c r="G204" s="26" t="s">
        <v>90</v>
      </c>
      <c r="H204" s="26"/>
      <c r="I204" s="27"/>
    </row>
    <row r="205" spans="1:9" ht="12.9" customHeight="1">
      <c r="A205" s="5"/>
      <c r="B205" s="28" t="s">
        <v>88</v>
      </c>
      <c r="C205" s="2"/>
      <c r="D205" s="2"/>
      <c r="E205" s="2"/>
      <c r="F205" s="26" t="s">
        <v>90</v>
      </c>
      <c r="G205" s="26" t="s">
        <v>90</v>
      </c>
      <c r="H205" s="26"/>
      <c r="I205" s="27"/>
    </row>
    <row r="206" spans="1:9" ht="12.9" customHeight="1">
      <c r="A206" s="5"/>
      <c r="B206" s="28" t="s">
        <v>80</v>
      </c>
      <c r="C206" s="2"/>
      <c r="D206" s="2"/>
      <c r="E206" s="2"/>
      <c r="F206" s="26" t="s">
        <v>90</v>
      </c>
      <c r="G206" s="26" t="s">
        <v>90</v>
      </c>
      <c r="H206" s="43"/>
      <c r="I206" s="42"/>
    </row>
    <row r="207" spans="1:9" ht="12.9" customHeight="1">
      <c r="A207" s="5"/>
      <c r="B207" s="44" t="s">
        <v>88</v>
      </c>
      <c r="C207" s="45"/>
      <c r="D207" s="45"/>
      <c r="E207" s="45"/>
      <c r="F207" s="26" t="s">
        <v>90</v>
      </c>
      <c r="G207" s="26" t="s">
        <v>90</v>
      </c>
      <c r="H207" s="43"/>
      <c r="I207" s="42"/>
    </row>
    <row r="208" spans="1:9" ht="12.9" customHeight="1">
      <c r="A208" s="5"/>
      <c r="B208" s="13" t="s">
        <v>89</v>
      </c>
      <c r="C208" s="14"/>
      <c r="D208" s="14"/>
      <c r="E208" s="14"/>
      <c r="F208" s="5"/>
      <c r="G208" s="15"/>
      <c r="H208" s="15"/>
      <c r="I208" s="16"/>
    </row>
    <row r="209" spans="1:9" ht="12.9" customHeight="1">
      <c r="A209" s="17" t="s">
        <v>2786</v>
      </c>
      <c r="B209" s="18" t="s">
        <v>2787</v>
      </c>
      <c r="C209" s="14" t="s">
        <v>2788</v>
      </c>
      <c r="D209" s="14" t="s">
        <v>353</v>
      </c>
      <c r="E209" s="19">
        <v>750</v>
      </c>
      <c r="F209" s="20">
        <v>7568.9775</v>
      </c>
      <c r="G209" s="21">
        <v>5.8999999999999999E-3</v>
      </c>
      <c r="H209" s="22">
        <v>7.5195999999999999E-2</v>
      </c>
      <c r="I209" s="23"/>
    </row>
    <row r="210" spans="1:9" ht="12.9" customHeight="1">
      <c r="A210" s="5"/>
      <c r="B210" s="13" t="s">
        <v>88</v>
      </c>
      <c r="C210" s="14"/>
      <c r="D210" s="14"/>
      <c r="E210" s="14"/>
      <c r="F210" s="24">
        <v>7568.9775</v>
      </c>
      <c r="G210" s="25">
        <v>5.8999999999999999E-3</v>
      </c>
      <c r="H210" s="26"/>
      <c r="I210" s="27"/>
    </row>
    <row r="211" spans="1:9" ht="12.9" customHeight="1">
      <c r="A211" s="5"/>
      <c r="B211" s="13" t="s">
        <v>751</v>
      </c>
      <c r="C211" s="14"/>
      <c r="D211" s="14"/>
      <c r="E211" s="14"/>
      <c r="F211" s="5"/>
      <c r="G211" s="15"/>
      <c r="H211" s="15"/>
      <c r="I211" s="16"/>
    </row>
    <row r="212" spans="1:9" ht="12.9" customHeight="1">
      <c r="A212" s="17" t="s">
        <v>756</v>
      </c>
      <c r="B212" s="18" t="s">
        <v>757</v>
      </c>
      <c r="C212" s="14" t="s">
        <v>758</v>
      </c>
      <c r="D212" s="14" t="s">
        <v>755</v>
      </c>
      <c r="E212" s="19">
        <v>213</v>
      </c>
      <c r="F212" s="20">
        <v>21525.787199999999</v>
      </c>
      <c r="G212" s="21">
        <v>1.67E-2</v>
      </c>
      <c r="H212" s="22">
        <v>7.4996999999999994E-2</v>
      </c>
      <c r="I212" s="23"/>
    </row>
    <row r="213" spans="1:9" ht="12.9" customHeight="1">
      <c r="A213" s="17" t="s">
        <v>752</v>
      </c>
      <c r="B213" s="18" t="s">
        <v>753</v>
      </c>
      <c r="C213" s="14" t="s">
        <v>754</v>
      </c>
      <c r="D213" s="14" t="s">
        <v>755</v>
      </c>
      <c r="E213" s="19">
        <v>118</v>
      </c>
      <c r="F213" s="20">
        <v>11928.1196</v>
      </c>
      <c r="G213" s="21">
        <v>9.1999999999999998E-3</v>
      </c>
      <c r="H213" s="22">
        <v>7.3596999999999996E-2</v>
      </c>
      <c r="I213" s="23"/>
    </row>
    <row r="214" spans="1:9" ht="12.9" customHeight="1">
      <c r="A214" s="17" t="s">
        <v>1200</v>
      </c>
      <c r="B214" s="18" t="s">
        <v>1201</v>
      </c>
      <c r="C214" s="14" t="s">
        <v>1202</v>
      </c>
      <c r="D214" s="14" t="s">
        <v>1203</v>
      </c>
      <c r="E214" s="19">
        <v>128</v>
      </c>
      <c r="F214" s="20">
        <v>11877.115100000001</v>
      </c>
      <c r="G214" s="21">
        <v>9.1999999999999998E-3</v>
      </c>
      <c r="H214" s="22">
        <v>7.9949999999999993E-2</v>
      </c>
      <c r="I214" s="23"/>
    </row>
    <row r="215" spans="1:9" ht="12.9" customHeight="1">
      <c r="A215" s="17" t="s">
        <v>759</v>
      </c>
      <c r="B215" s="18" t="s">
        <v>760</v>
      </c>
      <c r="C215" s="14" t="s">
        <v>761</v>
      </c>
      <c r="D215" s="14" t="s">
        <v>755</v>
      </c>
      <c r="E215" s="19">
        <v>74</v>
      </c>
      <c r="F215" s="20">
        <v>7456.2637000000004</v>
      </c>
      <c r="G215" s="21">
        <v>5.7999999999999996E-3</v>
      </c>
      <c r="H215" s="22">
        <v>7.3246000000000006E-2</v>
      </c>
      <c r="I215" s="23"/>
    </row>
    <row r="216" spans="1:9" ht="12.9" customHeight="1">
      <c r="A216" s="17" t="s">
        <v>2789</v>
      </c>
      <c r="B216" s="18" t="s">
        <v>2790</v>
      </c>
      <c r="C216" s="14" t="s">
        <v>2791</v>
      </c>
      <c r="D216" s="14" t="s">
        <v>755</v>
      </c>
      <c r="E216" s="19">
        <v>500000000</v>
      </c>
      <c r="F216" s="20">
        <v>5004.5</v>
      </c>
      <c r="G216" s="21">
        <v>3.8999999999999998E-3</v>
      </c>
      <c r="H216" s="22">
        <v>8.7999999999999995E-2</v>
      </c>
      <c r="I216" s="23"/>
    </row>
    <row r="217" spans="1:9" ht="12.9" customHeight="1">
      <c r="A217" s="17" t="s">
        <v>1204</v>
      </c>
      <c r="B217" s="18" t="s">
        <v>1205</v>
      </c>
      <c r="C217" s="14" t="s">
        <v>1206</v>
      </c>
      <c r="D217" s="14" t="s">
        <v>755</v>
      </c>
      <c r="E217" s="19">
        <v>51</v>
      </c>
      <c r="F217" s="20">
        <v>4902.9061000000002</v>
      </c>
      <c r="G217" s="21">
        <v>3.8E-3</v>
      </c>
      <c r="H217" s="22">
        <v>7.9949000000000006E-2</v>
      </c>
      <c r="I217" s="23"/>
    </row>
    <row r="218" spans="1:9" ht="12.9" customHeight="1">
      <c r="A218" s="17" t="s">
        <v>2792</v>
      </c>
      <c r="B218" s="18" t="s">
        <v>2793</v>
      </c>
      <c r="C218" s="14" t="s">
        <v>2794</v>
      </c>
      <c r="D218" s="14" t="s">
        <v>755</v>
      </c>
      <c r="E218" s="19">
        <v>1000000000</v>
      </c>
      <c r="F218" s="20">
        <v>4203</v>
      </c>
      <c r="G218" s="21">
        <v>3.3E-3</v>
      </c>
      <c r="H218" s="22">
        <v>8.6400000000000005E-2</v>
      </c>
      <c r="I218" s="23"/>
    </row>
    <row r="219" spans="1:9" ht="12.9" customHeight="1">
      <c r="A219" s="17" t="s">
        <v>1210</v>
      </c>
      <c r="B219" s="18" t="s">
        <v>1211</v>
      </c>
      <c r="C219" s="14" t="s">
        <v>1212</v>
      </c>
      <c r="D219" s="14" t="s">
        <v>755</v>
      </c>
      <c r="E219" s="19">
        <v>48</v>
      </c>
      <c r="F219" s="20">
        <v>3673.7550000000001</v>
      </c>
      <c r="G219" s="21">
        <v>2.8E-3</v>
      </c>
      <c r="H219" s="22">
        <v>7.7950000000000005E-2</v>
      </c>
      <c r="I219" s="23"/>
    </row>
    <row r="220" spans="1:9" ht="12.9" customHeight="1">
      <c r="A220" s="17" t="s">
        <v>1207</v>
      </c>
      <c r="B220" s="18" t="s">
        <v>1208</v>
      </c>
      <c r="C220" s="14" t="s">
        <v>1209</v>
      </c>
      <c r="D220" s="14" t="s">
        <v>1203</v>
      </c>
      <c r="E220" s="19">
        <v>34</v>
      </c>
      <c r="F220" s="20">
        <v>2840.9078</v>
      </c>
      <c r="G220" s="21">
        <v>2.2000000000000001E-3</v>
      </c>
      <c r="H220" s="22">
        <v>7.6749999999999999E-2</v>
      </c>
      <c r="I220" s="23"/>
    </row>
    <row r="221" spans="1:9" ht="12.9" customHeight="1">
      <c r="A221" s="17" t="s">
        <v>2795</v>
      </c>
      <c r="B221" s="18" t="s">
        <v>2796</v>
      </c>
      <c r="C221" s="14" t="s">
        <v>2797</v>
      </c>
      <c r="D221" s="14" t="s">
        <v>755</v>
      </c>
      <c r="E221" s="19">
        <v>450000000</v>
      </c>
      <c r="F221" s="20">
        <v>1566.9</v>
      </c>
      <c r="G221" s="21">
        <v>1.1999999999999999E-3</v>
      </c>
      <c r="H221" s="22">
        <v>8.6249999999999993E-2</v>
      </c>
      <c r="I221" s="23"/>
    </row>
    <row r="222" spans="1:9" ht="12.9" customHeight="1">
      <c r="A222" s="17" t="s">
        <v>2798</v>
      </c>
      <c r="B222" s="18" t="s">
        <v>2799</v>
      </c>
      <c r="C222" s="14" t="s">
        <v>2800</v>
      </c>
      <c r="D222" s="14" t="s">
        <v>1203</v>
      </c>
      <c r="E222" s="19">
        <v>12</v>
      </c>
      <c r="F222" s="20">
        <v>363.50470000000001</v>
      </c>
      <c r="G222" s="21">
        <v>2.9999999999999997E-4</v>
      </c>
      <c r="H222" s="22">
        <v>7.3800000000000004E-2</v>
      </c>
      <c r="I222" s="23"/>
    </row>
    <row r="223" spans="1:9" ht="12.9" customHeight="1">
      <c r="A223" s="5"/>
      <c r="B223" s="13" t="s">
        <v>88</v>
      </c>
      <c r="C223" s="14"/>
      <c r="D223" s="14"/>
      <c r="E223" s="14"/>
      <c r="F223" s="24">
        <v>75342.7592</v>
      </c>
      <c r="G223" s="25">
        <v>5.8400000000000001E-2</v>
      </c>
      <c r="H223" s="26"/>
      <c r="I223" s="27"/>
    </row>
    <row r="224" spans="1:9" ht="12.9" customHeight="1">
      <c r="A224" s="5"/>
      <c r="B224" s="28" t="s">
        <v>91</v>
      </c>
      <c r="C224" s="29"/>
      <c r="D224" s="2"/>
      <c r="E224" s="29"/>
      <c r="F224" s="24">
        <v>1184864.7568999999</v>
      </c>
      <c r="G224" s="25">
        <v>0.91839999999999999</v>
      </c>
      <c r="H224" s="26"/>
      <c r="I224" s="27"/>
    </row>
    <row r="225" spans="1:9" ht="12.9" customHeight="1">
      <c r="A225" s="5"/>
      <c r="B225" s="13" t="s">
        <v>311</v>
      </c>
      <c r="C225" s="14"/>
      <c r="D225" s="14"/>
      <c r="E225" s="14"/>
      <c r="F225" s="14"/>
      <c r="G225" s="14"/>
      <c r="H225" s="15"/>
      <c r="I225" s="16"/>
    </row>
    <row r="226" spans="1:9" ht="12.9" customHeight="1">
      <c r="A226" s="5"/>
      <c r="B226" s="13" t="s">
        <v>762</v>
      </c>
      <c r="C226" s="14"/>
      <c r="D226" s="14"/>
      <c r="E226" s="14"/>
      <c r="F226" s="5"/>
      <c r="G226" s="15"/>
      <c r="H226" s="15"/>
      <c r="I226" s="16"/>
    </row>
    <row r="227" spans="1:9" ht="12.9" customHeight="1">
      <c r="A227" s="17" t="s">
        <v>2216</v>
      </c>
      <c r="B227" s="18" t="s">
        <v>2217</v>
      </c>
      <c r="C227" s="14" t="s">
        <v>2218</v>
      </c>
      <c r="D227" s="14" t="s">
        <v>1583</v>
      </c>
      <c r="E227" s="19">
        <v>2000</v>
      </c>
      <c r="F227" s="20">
        <v>9429.2199999999993</v>
      </c>
      <c r="G227" s="21">
        <v>7.3000000000000001E-3</v>
      </c>
      <c r="H227" s="22">
        <v>6.6549999999999998E-2</v>
      </c>
      <c r="I227" s="23"/>
    </row>
    <row r="228" spans="1:9" ht="12.9" customHeight="1">
      <c r="A228" s="17" t="s">
        <v>2240</v>
      </c>
      <c r="B228" s="18" t="s">
        <v>2241</v>
      </c>
      <c r="C228" s="14" t="s">
        <v>2242</v>
      </c>
      <c r="D228" s="14" t="s">
        <v>1583</v>
      </c>
      <c r="E228" s="19">
        <v>2000</v>
      </c>
      <c r="F228" s="20">
        <v>9389.75</v>
      </c>
      <c r="G228" s="21">
        <v>7.3000000000000001E-3</v>
      </c>
      <c r="H228" s="22">
        <v>6.7199999999999996E-2</v>
      </c>
      <c r="I228" s="23"/>
    </row>
    <row r="229" spans="1:9" ht="12.9" customHeight="1">
      <c r="A229" s="17" t="s">
        <v>2201</v>
      </c>
      <c r="B229" s="18" t="s">
        <v>2202</v>
      </c>
      <c r="C229" s="14" t="s">
        <v>2203</v>
      </c>
      <c r="D229" s="14" t="s">
        <v>1583</v>
      </c>
      <c r="E229" s="19">
        <v>1000</v>
      </c>
      <c r="F229" s="20">
        <v>4725.92</v>
      </c>
      <c r="G229" s="21">
        <v>3.7000000000000002E-3</v>
      </c>
      <c r="H229" s="22">
        <v>6.7199999999999996E-2</v>
      </c>
      <c r="I229" s="23"/>
    </row>
    <row r="230" spans="1:9" ht="12.9" customHeight="1">
      <c r="A230" s="17" t="s">
        <v>2801</v>
      </c>
      <c r="B230" s="18" t="s">
        <v>2802</v>
      </c>
      <c r="C230" s="14" t="s">
        <v>2803</v>
      </c>
      <c r="D230" s="14" t="s">
        <v>770</v>
      </c>
      <c r="E230" s="19">
        <v>500</v>
      </c>
      <c r="F230" s="20">
        <v>2472.6149999999998</v>
      </c>
      <c r="G230" s="21">
        <v>1.9E-3</v>
      </c>
      <c r="H230" s="22">
        <v>6.1249999999999999E-2</v>
      </c>
      <c r="I230" s="23"/>
    </row>
    <row r="231" spans="1:9" ht="12.9" customHeight="1">
      <c r="A231" s="17" t="s">
        <v>1800</v>
      </c>
      <c r="B231" s="18" t="s">
        <v>1801</v>
      </c>
      <c r="C231" s="14" t="s">
        <v>1802</v>
      </c>
      <c r="D231" s="14" t="s">
        <v>1583</v>
      </c>
      <c r="E231" s="19">
        <v>200</v>
      </c>
      <c r="F231" s="20">
        <v>987.83</v>
      </c>
      <c r="G231" s="21">
        <v>8.0000000000000004E-4</v>
      </c>
      <c r="H231" s="22">
        <v>6.1601000000000003E-2</v>
      </c>
      <c r="I231" s="23"/>
    </row>
    <row r="232" spans="1:9" ht="12.9" customHeight="1">
      <c r="A232" s="17" t="s">
        <v>2180</v>
      </c>
      <c r="B232" s="18" t="s">
        <v>2181</v>
      </c>
      <c r="C232" s="14" t="s">
        <v>2182</v>
      </c>
      <c r="D232" s="14" t="s">
        <v>770</v>
      </c>
      <c r="E232" s="19">
        <v>200</v>
      </c>
      <c r="F232" s="20">
        <v>983.95500000000004</v>
      </c>
      <c r="G232" s="21">
        <v>8.0000000000000004E-4</v>
      </c>
      <c r="H232" s="22">
        <v>6.0735999999999998E-2</v>
      </c>
      <c r="I232" s="23"/>
    </row>
    <row r="233" spans="1:9" ht="12.9" customHeight="1">
      <c r="A233" s="5"/>
      <c r="B233" s="13" t="s">
        <v>88</v>
      </c>
      <c r="C233" s="14"/>
      <c r="D233" s="14"/>
      <c r="E233" s="14"/>
      <c r="F233" s="24">
        <v>27989.29</v>
      </c>
      <c r="G233" s="25">
        <v>2.1700000000000001E-2</v>
      </c>
      <c r="H233" s="26"/>
      <c r="I233" s="27"/>
    </row>
    <row r="234" spans="1:9" ht="12.9" customHeight="1">
      <c r="A234" s="5"/>
      <c r="B234" s="13" t="s">
        <v>1481</v>
      </c>
      <c r="C234" s="14"/>
      <c r="D234" s="14"/>
      <c r="E234" s="14"/>
      <c r="F234" s="5"/>
      <c r="G234" s="15"/>
      <c r="H234" s="15"/>
      <c r="I234" s="16"/>
    </row>
    <row r="235" spans="1:9" ht="12.9" customHeight="1">
      <c r="A235" s="17" t="s">
        <v>2804</v>
      </c>
      <c r="B235" s="18" t="s">
        <v>2259</v>
      </c>
      <c r="C235" s="14" t="s">
        <v>2805</v>
      </c>
      <c r="D235" s="14" t="s">
        <v>770</v>
      </c>
      <c r="E235" s="19">
        <v>1000</v>
      </c>
      <c r="F235" s="20">
        <v>4934.1949999999997</v>
      </c>
      <c r="G235" s="21">
        <v>3.8E-3</v>
      </c>
      <c r="H235" s="22">
        <v>6.0850000000000001E-2</v>
      </c>
      <c r="I235" s="23"/>
    </row>
    <row r="236" spans="1:9" ht="12.9" customHeight="1">
      <c r="A236" s="5"/>
      <c r="B236" s="13" t="s">
        <v>88</v>
      </c>
      <c r="C236" s="14"/>
      <c r="D236" s="14"/>
      <c r="E236" s="14"/>
      <c r="F236" s="24">
        <v>4934.1949999999997</v>
      </c>
      <c r="G236" s="25">
        <v>3.8E-3</v>
      </c>
      <c r="H236" s="26"/>
      <c r="I236" s="27"/>
    </row>
    <row r="237" spans="1:9" ht="12.9" customHeight="1">
      <c r="A237" s="5"/>
      <c r="B237" s="28" t="s">
        <v>91</v>
      </c>
      <c r="C237" s="29"/>
      <c r="D237" s="2"/>
      <c r="E237" s="29"/>
      <c r="F237" s="24">
        <v>32923.485000000001</v>
      </c>
      <c r="G237" s="25">
        <v>2.5499999999999998E-2</v>
      </c>
      <c r="H237" s="26"/>
      <c r="I237" s="27"/>
    </row>
    <row r="238" spans="1:9" ht="12.9" customHeight="1">
      <c r="A238" s="5"/>
      <c r="B238" s="13" t="s">
        <v>285</v>
      </c>
      <c r="C238" s="14"/>
      <c r="D238" s="14"/>
      <c r="E238" s="14"/>
      <c r="F238" s="14"/>
      <c r="G238" s="14"/>
      <c r="H238" s="15"/>
      <c r="I238" s="16"/>
    </row>
    <row r="239" spans="1:9" ht="12.9" customHeight="1">
      <c r="A239" s="5"/>
      <c r="B239" s="13" t="s">
        <v>789</v>
      </c>
      <c r="C239" s="14"/>
      <c r="D239" s="14"/>
      <c r="E239" s="14"/>
      <c r="F239" s="5"/>
      <c r="G239" s="15"/>
      <c r="H239" s="15"/>
      <c r="I239" s="16"/>
    </row>
    <row r="240" spans="1:9" ht="12.9" customHeight="1">
      <c r="A240" s="17" t="s">
        <v>790</v>
      </c>
      <c r="B240" s="18" t="s">
        <v>791</v>
      </c>
      <c r="C240" s="14" t="s">
        <v>792</v>
      </c>
      <c r="D240" s="14"/>
      <c r="E240" s="19">
        <v>27480.142</v>
      </c>
      <c r="F240" s="20">
        <v>3165.4396000000002</v>
      </c>
      <c r="G240" s="21">
        <v>2.5000000000000001E-3</v>
      </c>
      <c r="H240" s="22"/>
      <c r="I240" s="23"/>
    </row>
    <row r="241" spans="1:9" ht="12.9" customHeight="1">
      <c r="A241" s="5"/>
      <c r="B241" s="13" t="s">
        <v>88</v>
      </c>
      <c r="C241" s="14"/>
      <c r="D241" s="14"/>
      <c r="E241" s="14"/>
      <c r="F241" s="24">
        <v>3165.4396000000002</v>
      </c>
      <c r="G241" s="25">
        <v>2.5000000000000001E-3</v>
      </c>
      <c r="H241" s="26"/>
      <c r="I241" s="27"/>
    </row>
    <row r="242" spans="1:9" ht="12.9" customHeight="1">
      <c r="A242" s="5"/>
      <c r="B242" s="28" t="s">
        <v>91</v>
      </c>
      <c r="C242" s="29"/>
      <c r="D242" s="2"/>
      <c r="E242" s="29"/>
      <c r="F242" s="24">
        <v>3165.4396000000002</v>
      </c>
      <c r="G242" s="25">
        <v>2.5000000000000001E-3</v>
      </c>
      <c r="H242" s="26"/>
      <c r="I242" s="27"/>
    </row>
    <row r="243" spans="1:9" ht="12.9" customHeight="1">
      <c r="A243" s="5"/>
      <c r="B243" s="13" t="s">
        <v>92</v>
      </c>
      <c r="C243" s="14"/>
      <c r="D243" s="14"/>
      <c r="E243" s="14"/>
      <c r="F243" s="14"/>
      <c r="G243" s="14"/>
      <c r="H243" s="15"/>
      <c r="I243" s="16"/>
    </row>
    <row r="244" spans="1:9" ht="12.9" customHeight="1">
      <c r="A244" s="17" t="s">
        <v>93</v>
      </c>
      <c r="B244" s="18" t="s">
        <v>94</v>
      </c>
      <c r="C244" s="14"/>
      <c r="D244" s="14"/>
      <c r="E244" s="19"/>
      <c r="F244" s="20">
        <v>19899.310000000001</v>
      </c>
      <c r="G244" s="21">
        <v>1.54E-2</v>
      </c>
      <c r="H244" s="22">
        <v>5.0765163771755412E-2</v>
      </c>
      <c r="I244" s="23"/>
    </row>
    <row r="245" spans="1:9" ht="12.9" customHeight="1">
      <c r="A245" s="5"/>
      <c r="B245" s="13" t="s">
        <v>88</v>
      </c>
      <c r="C245" s="14"/>
      <c r="D245" s="14"/>
      <c r="E245" s="14"/>
      <c r="F245" s="24">
        <v>19899.310000000001</v>
      </c>
      <c r="G245" s="25">
        <v>1.54E-2</v>
      </c>
      <c r="H245" s="26"/>
      <c r="I245" s="27"/>
    </row>
    <row r="246" spans="1:9" ht="12.9" customHeight="1">
      <c r="A246" s="5"/>
      <c r="B246" s="28" t="s">
        <v>91</v>
      </c>
      <c r="C246" s="29"/>
      <c r="D246" s="2"/>
      <c r="E246" s="29"/>
      <c r="F246" s="24">
        <v>19899.310000000001</v>
      </c>
      <c r="G246" s="25">
        <v>1.54E-2</v>
      </c>
      <c r="H246" s="26"/>
      <c r="I246" s="27"/>
    </row>
    <row r="247" spans="1:9" ht="12.9" customHeight="1">
      <c r="A247" s="5"/>
      <c r="B247" s="28" t="s">
        <v>96</v>
      </c>
      <c r="C247" s="14"/>
      <c r="D247" s="2"/>
      <c r="E247" s="14"/>
      <c r="F247" s="31">
        <v>49296.618499999997</v>
      </c>
      <c r="G247" s="25">
        <v>3.8199999999999998E-2</v>
      </c>
      <c r="H247" s="26"/>
      <c r="I247" s="27"/>
    </row>
    <row r="248" spans="1:9" ht="12.9" customHeight="1">
      <c r="A248" s="5"/>
      <c r="B248" s="32" t="s">
        <v>97</v>
      </c>
      <c r="C248" s="33"/>
      <c r="D248" s="33"/>
      <c r="E248" s="33"/>
      <c r="F248" s="34">
        <v>1290149.6100000001</v>
      </c>
      <c r="G248" s="35">
        <v>1</v>
      </c>
      <c r="H248" s="36"/>
      <c r="I248" s="37"/>
    </row>
    <row r="249" spans="1:9" ht="12.9" customHeight="1">
      <c r="A249" s="5"/>
      <c r="B249" s="7"/>
      <c r="C249" s="5"/>
      <c r="D249" s="5"/>
      <c r="E249" s="5"/>
      <c r="F249" s="5"/>
      <c r="G249" s="5"/>
      <c r="H249" s="5"/>
      <c r="I249" s="5"/>
    </row>
    <row r="250" spans="1:9" ht="12.9" customHeight="1">
      <c r="A250" s="5"/>
      <c r="B250" s="4" t="s">
        <v>2806</v>
      </c>
      <c r="C250" s="5"/>
      <c r="D250" s="5"/>
      <c r="E250" s="5"/>
      <c r="F250" s="5"/>
      <c r="G250" s="5"/>
      <c r="H250" s="5"/>
      <c r="I250" s="5"/>
    </row>
    <row r="251" spans="1:9" ht="12.9" customHeight="1">
      <c r="A251" s="5"/>
      <c r="B251" s="4" t="s">
        <v>2807</v>
      </c>
      <c r="C251" s="5"/>
      <c r="D251" s="5"/>
      <c r="E251" s="5"/>
      <c r="F251" s="5"/>
      <c r="G251" s="5"/>
      <c r="H251" s="5"/>
      <c r="I251" s="5"/>
    </row>
    <row r="252" spans="1:9" ht="12.9" customHeight="1">
      <c r="A252" s="5"/>
      <c r="B252" s="4" t="s">
        <v>146</v>
      </c>
      <c r="C252" s="5"/>
      <c r="D252" s="5"/>
      <c r="E252" s="5"/>
      <c r="F252" s="5"/>
      <c r="G252" s="5"/>
      <c r="H252" s="5"/>
      <c r="I252" s="5"/>
    </row>
    <row r="253" spans="1:9" ht="12.9" customHeight="1">
      <c r="A253" s="5"/>
      <c r="B253" s="4" t="s">
        <v>98</v>
      </c>
      <c r="C253" s="5"/>
      <c r="D253" s="5"/>
      <c r="E253" s="5"/>
      <c r="F253" s="5"/>
      <c r="G253" s="5"/>
      <c r="H253" s="5"/>
      <c r="I253" s="5"/>
    </row>
    <row r="254" spans="1:9" ht="12.9" customHeight="1">
      <c r="A254" s="5"/>
      <c r="B254" s="4" t="s">
        <v>99</v>
      </c>
      <c r="C254" s="5"/>
      <c r="D254" s="5"/>
      <c r="E254" s="5"/>
      <c r="F254" s="5"/>
      <c r="G254" s="5"/>
      <c r="H254" s="5"/>
      <c r="I254" s="5"/>
    </row>
    <row r="255" spans="1:9" ht="26.1" customHeight="1">
      <c r="A255" s="5"/>
      <c r="B255" s="50" t="s">
        <v>100</v>
      </c>
      <c r="C255" s="50"/>
      <c r="D255" s="50"/>
      <c r="E255" s="50"/>
      <c r="F255" s="50"/>
      <c r="G255" s="50"/>
      <c r="H255" s="50"/>
      <c r="I255" s="50"/>
    </row>
    <row r="256" spans="1:9" ht="12.9" customHeight="1">
      <c r="A256" s="5"/>
      <c r="B256" s="50" t="s">
        <v>101</v>
      </c>
      <c r="C256" s="50"/>
      <c r="D256" s="50"/>
      <c r="E256" s="50"/>
      <c r="F256" s="50"/>
      <c r="G256" s="50"/>
      <c r="H256" s="50"/>
      <c r="I256" s="50"/>
    </row>
    <row r="257" spans="1:9" ht="12.9" customHeight="1">
      <c r="A257" s="5"/>
      <c r="B257" s="50"/>
      <c r="C257" s="50"/>
      <c r="D257" s="50"/>
      <c r="E257" s="50"/>
      <c r="F257" s="50"/>
      <c r="G257" s="50"/>
      <c r="H257" s="50"/>
      <c r="I257" s="50"/>
    </row>
    <row r="258" spans="1:9" ht="12.9" customHeight="1">
      <c r="A258" s="5"/>
      <c r="B258" s="53" t="s">
        <v>2808</v>
      </c>
      <c r="C258" s="53"/>
      <c r="D258" s="53"/>
      <c r="E258" s="53"/>
      <c r="F258" s="5"/>
      <c r="G258" s="5"/>
      <c r="H258" s="5"/>
      <c r="I258" s="5"/>
    </row>
    <row r="259" spans="1:9" ht="12.9" customHeight="1">
      <c r="A259" s="5"/>
      <c r="B259" s="50"/>
      <c r="C259" s="50"/>
      <c r="D259" s="50"/>
      <c r="E259" s="50"/>
      <c r="F259" s="50"/>
      <c r="G259" s="50"/>
      <c r="H259" s="50"/>
      <c r="I259" s="50"/>
    </row>
    <row r="260" spans="1:9" ht="12.9" customHeight="1">
      <c r="A260" s="5"/>
      <c r="B260" s="5"/>
      <c r="C260" s="51" t="s">
        <v>2809</v>
      </c>
      <c r="D260" s="51"/>
      <c r="E260" s="51"/>
      <c r="F260" s="51"/>
      <c r="G260" s="5"/>
      <c r="H260" s="5"/>
      <c r="I260" s="5"/>
    </row>
    <row r="261" spans="1:9" ht="12.9" customHeight="1">
      <c r="A261" s="5"/>
      <c r="B261" s="38" t="s">
        <v>103</v>
      </c>
      <c r="C261" s="51" t="s">
        <v>104</v>
      </c>
      <c r="D261" s="51"/>
      <c r="E261" s="51"/>
      <c r="F261" s="51"/>
      <c r="G261" s="5"/>
      <c r="H261" s="5"/>
      <c r="I261" s="5"/>
    </row>
    <row r="262" spans="1:9" ht="135" customHeight="1">
      <c r="A262" s="5"/>
      <c r="B262" s="39"/>
      <c r="C262" s="52"/>
      <c r="D262" s="52"/>
      <c r="E262" s="5"/>
      <c r="F262" s="5"/>
      <c r="G262" s="5"/>
      <c r="H262" s="5"/>
      <c r="I262" s="5"/>
    </row>
  </sheetData>
  <mergeCells count="8">
    <mergeCell ref="C260:F260"/>
    <mergeCell ref="C261:F261"/>
    <mergeCell ref="C262:D262"/>
    <mergeCell ref="B255:I255"/>
    <mergeCell ref="B256:I256"/>
    <mergeCell ref="B257:I257"/>
    <mergeCell ref="B258:E258"/>
    <mergeCell ref="B259:I259"/>
  </mergeCells>
  <hyperlinks>
    <hyperlink ref="A1" location="AxisShortDurationFund" display="AXISSTF" xr:uid="{00000000-0004-0000-4E00-000000000000}"/>
    <hyperlink ref="B1" location="AxisShortDurationFund" display="Axis Short Duration Fund" xr:uid="{00000000-0004-0000-4E00-000001000000}"/>
  </hyperlinks>
  <pageMargins left="0" right="0" top="0" bottom="0" header="0" footer="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/>
  </sheetPr>
  <dimension ref="A1:I183"/>
  <sheetViews>
    <sheetView topLeftCell="A157" workbookViewId="0">
      <selection activeCell="C86" sqref="C86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63</v>
      </c>
      <c r="B1" s="4" t="s">
        <v>64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316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317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2810</v>
      </c>
      <c r="B7" s="18" t="s">
        <v>2811</v>
      </c>
      <c r="C7" s="14"/>
      <c r="D7" s="14"/>
      <c r="E7" s="40"/>
      <c r="F7" s="20">
        <v>1.9924999999999999</v>
      </c>
      <c r="G7" s="30" t="s">
        <v>95</v>
      </c>
      <c r="H7" s="30"/>
      <c r="I7" s="23"/>
    </row>
    <row r="8" spans="1:9" ht="12.9" customHeight="1">
      <c r="A8" s="17" t="s">
        <v>2812</v>
      </c>
      <c r="B8" s="18" t="s">
        <v>2813</v>
      </c>
      <c r="C8" s="14"/>
      <c r="D8" s="14"/>
      <c r="E8" s="40"/>
      <c r="F8" s="20">
        <v>-2.0299999999999998</v>
      </c>
      <c r="G8" s="30" t="s">
        <v>95</v>
      </c>
      <c r="H8" s="30"/>
      <c r="I8" s="23"/>
    </row>
    <row r="9" spans="1:9" ht="12.9" customHeight="1">
      <c r="A9" s="17" t="s">
        <v>2814</v>
      </c>
      <c r="B9" s="18" t="s">
        <v>1625</v>
      </c>
      <c r="C9" s="14"/>
      <c r="D9" s="14"/>
      <c r="E9" s="40"/>
      <c r="F9" s="20">
        <v>-3.4950000000000001</v>
      </c>
      <c r="G9" s="30" t="s">
        <v>95</v>
      </c>
      <c r="H9" s="30"/>
      <c r="I9" s="23"/>
    </row>
    <row r="10" spans="1:9" ht="12.9" customHeight="1">
      <c r="A10" s="17" t="s">
        <v>2815</v>
      </c>
      <c r="B10" s="18" t="s">
        <v>2816</v>
      </c>
      <c r="C10" s="14"/>
      <c r="D10" s="14"/>
      <c r="E10" s="40"/>
      <c r="F10" s="20">
        <v>-6.7149999999999999</v>
      </c>
      <c r="G10" s="30" t="s">
        <v>95</v>
      </c>
      <c r="H10" s="30"/>
      <c r="I10" s="23"/>
    </row>
    <row r="11" spans="1:9" ht="12.9" customHeight="1">
      <c r="A11" s="17" t="s">
        <v>2817</v>
      </c>
      <c r="B11" s="18" t="s">
        <v>2818</v>
      </c>
      <c r="C11" s="14"/>
      <c r="D11" s="14"/>
      <c r="E11" s="40"/>
      <c r="F11" s="20">
        <v>-6.73</v>
      </c>
      <c r="G11" s="30" t="s">
        <v>95</v>
      </c>
      <c r="H11" s="30"/>
      <c r="I11" s="23"/>
    </row>
    <row r="12" spans="1:9" ht="12.9" customHeight="1">
      <c r="A12" s="17" t="s">
        <v>2819</v>
      </c>
      <c r="B12" s="18" t="s">
        <v>2820</v>
      </c>
      <c r="C12" s="14"/>
      <c r="D12" s="14"/>
      <c r="E12" s="40"/>
      <c r="F12" s="20">
        <v>-6.83</v>
      </c>
      <c r="G12" s="30" t="s">
        <v>95</v>
      </c>
      <c r="H12" s="30"/>
      <c r="I12" s="23"/>
    </row>
    <row r="13" spans="1:9" ht="12.9" customHeight="1">
      <c r="A13" s="17" t="s">
        <v>2821</v>
      </c>
      <c r="B13" s="18" t="s">
        <v>2822</v>
      </c>
      <c r="C13" s="14"/>
      <c r="D13" s="14"/>
      <c r="E13" s="40"/>
      <c r="F13" s="20">
        <v>-7.74</v>
      </c>
      <c r="G13" s="30" t="s">
        <v>95</v>
      </c>
      <c r="H13" s="30"/>
      <c r="I13" s="23"/>
    </row>
    <row r="14" spans="1:9" ht="12.9" customHeight="1">
      <c r="A14" s="17" t="s">
        <v>2823</v>
      </c>
      <c r="B14" s="18" t="s">
        <v>2824</v>
      </c>
      <c r="C14" s="14"/>
      <c r="D14" s="14"/>
      <c r="E14" s="40"/>
      <c r="F14" s="20">
        <v>-10.6675</v>
      </c>
      <c r="G14" s="30" t="s">
        <v>95</v>
      </c>
      <c r="H14" s="30"/>
      <c r="I14" s="23"/>
    </row>
    <row r="15" spans="1:9" ht="12.9" customHeight="1">
      <c r="A15" s="17" t="s">
        <v>2825</v>
      </c>
      <c r="B15" s="18" t="s">
        <v>2826</v>
      </c>
      <c r="C15" s="14"/>
      <c r="D15" s="14"/>
      <c r="E15" s="40"/>
      <c r="F15" s="20">
        <v>-13.16</v>
      </c>
      <c r="G15" s="30" t="s">
        <v>95</v>
      </c>
      <c r="H15" s="30"/>
      <c r="I15" s="23"/>
    </row>
    <row r="16" spans="1:9" ht="12.9" customHeight="1">
      <c r="A16" s="17" t="s">
        <v>2827</v>
      </c>
      <c r="B16" s="18" t="s">
        <v>2828</v>
      </c>
      <c r="C16" s="14"/>
      <c r="D16" s="14"/>
      <c r="E16" s="40"/>
      <c r="F16" s="20">
        <v>-15.547499999999999</v>
      </c>
      <c r="G16" s="30" t="s">
        <v>95</v>
      </c>
      <c r="H16" s="30"/>
      <c r="I16" s="23"/>
    </row>
    <row r="17" spans="1:9" ht="12.9" customHeight="1">
      <c r="A17" s="17" t="s">
        <v>2829</v>
      </c>
      <c r="B17" s="18" t="s">
        <v>2830</v>
      </c>
      <c r="C17" s="14"/>
      <c r="D17" s="14"/>
      <c r="E17" s="40"/>
      <c r="F17" s="20">
        <v>-17.86</v>
      </c>
      <c r="G17" s="30" t="s">
        <v>95</v>
      </c>
      <c r="H17" s="30"/>
      <c r="I17" s="23"/>
    </row>
    <row r="18" spans="1:9" ht="12.9" customHeight="1">
      <c r="A18" s="5"/>
      <c r="B18" s="13" t="s">
        <v>88</v>
      </c>
      <c r="C18" s="14"/>
      <c r="D18" s="14"/>
      <c r="E18" s="14"/>
      <c r="F18" s="24">
        <v>-88.782499999999999</v>
      </c>
      <c r="G18" s="25">
        <v>-1E-4</v>
      </c>
      <c r="H18" s="26"/>
      <c r="I18" s="27"/>
    </row>
    <row r="19" spans="1:9" ht="12.9" customHeight="1">
      <c r="A19" s="5"/>
      <c r="B19" s="28" t="s">
        <v>91</v>
      </c>
      <c r="C19" s="29"/>
      <c r="D19" s="2"/>
      <c r="E19" s="29"/>
      <c r="F19" s="24">
        <v>-88.782499999999999</v>
      </c>
      <c r="G19" s="25">
        <v>-1E-4</v>
      </c>
      <c r="H19" s="26"/>
      <c r="I19" s="27"/>
    </row>
    <row r="20" spans="1:9" ht="12.9" customHeight="1">
      <c r="A20" s="5"/>
      <c r="B20" s="13" t="s">
        <v>79</v>
      </c>
      <c r="C20" s="14"/>
      <c r="D20" s="14"/>
      <c r="E20" s="14"/>
      <c r="F20" s="14"/>
      <c r="G20" s="14"/>
      <c r="H20" s="15"/>
      <c r="I20" s="16"/>
    </row>
    <row r="21" spans="1:9" ht="12.9" customHeight="1">
      <c r="A21" s="5"/>
      <c r="B21" s="13" t="s">
        <v>80</v>
      </c>
      <c r="C21" s="14"/>
      <c r="D21" s="14"/>
      <c r="E21" s="14"/>
      <c r="F21" s="5"/>
      <c r="G21" s="15"/>
      <c r="H21" s="15"/>
      <c r="I21" s="16"/>
    </row>
    <row r="22" spans="1:9" ht="12.9" customHeight="1">
      <c r="A22" s="17" t="s">
        <v>1469</v>
      </c>
      <c r="B22" s="18" t="s">
        <v>1470</v>
      </c>
      <c r="C22" s="14" t="s">
        <v>1471</v>
      </c>
      <c r="D22" s="14" t="s">
        <v>109</v>
      </c>
      <c r="E22" s="19">
        <v>28000</v>
      </c>
      <c r="F22" s="20">
        <v>28108.444</v>
      </c>
      <c r="G22" s="21">
        <v>3.8699999999999998E-2</v>
      </c>
      <c r="H22" s="22">
        <v>6.7100000000000007E-2</v>
      </c>
      <c r="I22" s="23"/>
    </row>
    <row r="23" spans="1:9" ht="12.9" customHeight="1">
      <c r="A23" s="17" t="s">
        <v>1472</v>
      </c>
      <c r="B23" s="18" t="s">
        <v>1473</v>
      </c>
      <c r="C23" s="14" t="s">
        <v>1474</v>
      </c>
      <c r="D23" s="14" t="s">
        <v>109</v>
      </c>
      <c r="E23" s="19">
        <v>21500</v>
      </c>
      <c r="F23" s="20">
        <v>21572.390500000001</v>
      </c>
      <c r="G23" s="21">
        <v>2.9700000000000001E-2</v>
      </c>
      <c r="H23" s="22">
        <v>6.8500000000000005E-2</v>
      </c>
      <c r="I23" s="23"/>
    </row>
    <row r="24" spans="1:9" ht="12.9" customHeight="1">
      <c r="A24" s="17" t="s">
        <v>347</v>
      </c>
      <c r="B24" s="18" t="s">
        <v>348</v>
      </c>
      <c r="C24" s="14" t="s">
        <v>349</v>
      </c>
      <c r="D24" s="14" t="s">
        <v>109</v>
      </c>
      <c r="E24" s="19">
        <v>20000</v>
      </c>
      <c r="F24" s="20">
        <v>20270.080000000002</v>
      </c>
      <c r="G24" s="21">
        <v>2.7900000000000001E-2</v>
      </c>
      <c r="H24" s="22">
        <v>6.9044999999999995E-2</v>
      </c>
      <c r="I24" s="23"/>
    </row>
    <row r="25" spans="1:9" ht="12.9" customHeight="1">
      <c r="A25" s="17" t="s">
        <v>1478</v>
      </c>
      <c r="B25" s="18" t="s">
        <v>1479</v>
      </c>
      <c r="C25" s="14" t="s">
        <v>1480</v>
      </c>
      <c r="D25" s="14" t="s">
        <v>109</v>
      </c>
      <c r="E25" s="19">
        <v>19460</v>
      </c>
      <c r="F25" s="20">
        <v>19538.521100000002</v>
      </c>
      <c r="G25" s="21">
        <v>2.69E-2</v>
      </c>
      <c r="H25" s="22">
        <v>6.7100000000000007E-2</v>
      </c>
      <c r="I25" s="23"/>
    </row>
    <row r="26" spans="1:9" ht="12.9" customHeight="1">
      <c r="A26" s="17" t="s">
        <v>1514</v>
      </c>
      <c r="B26" s="18" t="s">
        <v>1515</v>
      </c>
      <c r="C26" s="14" t="s">
        <v>1516</v>
      </c>
      <c r="D26" s="14" t="s">
        <v>84</v>
      </c>
      <c r="E26" s="19">
        <v>17425000</v>
      </c>
      <c r="F26" s="20">
        <v>17566.142500000002</v>
      </c>
      <c r="G26" s="21">
        <v>2.4199999999999999E-2</v>
      </c>
      <c r="H26" s="22"/>
      <c r="I26" s="23"/>
    </row>
    <row r="27" spans="1:9" ht="12.9" customHeight="1">
      <c r="A27" s="17" t="s">
        <v>1703</v>
      </c>
      <c r="B27" s="18" t="s">
        <v>1704</v>
      </c>
      <c r="C27" s="14" t="s">
        <v>1705</v>
      </c>
      <c r="D27" s="14" t="s">
        <v>109</v>
      </c>
      <c r="E27" s="19">
        <v>15000</v>
      </c>
      <c r="F27" s="20">
        <v>15000</v>
      </c>
      <c r="G27" s="21">
        <v>2.06E-2</v>
      </c>
      <c r="H27" s="22">
        <v>5.6800000000000003E-2</v>
      </c>
      <c r="I27" s="23"/>
    </row>
    <row r="28" spans="1:9" ht="12.9" customHeight="1">
      <c r="A28" s="17" t="s">
        <v>2831</v>
      </c>
      <c r="B28" s="18" t="s">
        <v>2832</v>
      </c>
      <c r="C28" s="14" t="s">
        <v>2833</v>
      </c>
      <c r="D28" s="14" t="s">
        <v>109</v>
      </c>
      <c r="E28" s="19">
        <v>14000</v>
      </c>
      <c r="F28" s="20">
        <v>13973.736000000001</v>
      </c>
      <c r="G28" s="21">
        <v>1.9199999999999998E-2</v>
      </c>
      <c r="H28" s="22">
        <v>7.7350000000000002E-2</v>
      </c>
      <c r="I28" s="23"/>
    </row>
    <row r="29" spans="1:9" ht="12.9" customHeight="1">
      <c r="A29" s="17" t="s">
        <v>1555</v>
      </c>
      <c r="B29" s="18" t="s">
        <v>1556</v>
      </c>
      <c r="C29" s="14" t="s">
        <v>1557</v>
      </c>
      <c r="D29" s="14" t="s">
        <v>1448</v>
      </c>
      <c r="E29" s="19">
        <v>12500</v>
      </c>
      <c r="F29" s="20">
        <v>12599.5875</v>
      </c>
      <c r="G29" s="21">
        <v>1.7299999999999999E-2</v>
      </c>
      <c r="H29" s="22">
        <v>8.2500000000000004E-2</v>
      </c>
      <c r="I29" s="23"/>
    </row>
    <row r="30" spans="1:9" ht="12.9" customHeight="1">
      <c r="A30" s="17" t="s">
        <v>2834</v>
      </c>
      <c r="B30" s="18" t="s">
        <v>2835</v>
      </c>
      <c r="C30" s="14" t="s">
        <v>2836</v>
      </c>
      <c r="D30" s="14" t="s">
        <v>1504</v>
      </c>
      <c r="E30" s="19">
        <v>12500</v>
      </c>
      <c r="F30" s="20">
        <v>12566.424999999999</v>
      </c>
      <c r="G30" s="21">
        <v>1.7299999999999999E-2</v>
      </c>
      <c r="H30" s="22">
        <v>8.5697999999999996E-2</v>
      </c>
      <c r="I30" s="23"/>
    </row>
    <row r="31" spans="1:9" ht="12.9" customHeight="1">
      <c r="A31" s="17" t="s">
        <v>338</v>
      </c>
      <c r="B31" s="18" t="s">
        <v>339</v>
      </c>
      <c r="C31" s="14" t="s">
        <v>340</v>
      </c>
      <c r="D31" s="14" t="s">
        <v>109</v>
      </c>
      <c r="E31" s="19">
        <v>10000</v>
      </c>
      <c r="F31" s="20">
        <v>10097.11</v>
      </c>
      <c r="G31" s="21">
        <v>1.3899999999999999E-2</v>
      </c>
      <c r="H31" s="22">
        <v>6.8199999999999997E-2</v>
      </c>
      <c r="I31" s="23"/>
    </row>
    <row r="32" spans="1:9" ht="12.9" customHeight="1">
      <c r="A32" s="17" t="s">
        <v>1425</v>
      </c>
      <c r="B32" s="18" t="s">
        <v>1426</v>
      </c>
      <c r="C32" s="14" t="s">
        <v>1427</v>
      </c>
      <c r="D32" s="14" t="s">
        <v>109</v>
      </c>
      <c r="E32" s="19">
        <v>10000</v>
      </c>
      <c r="F32" s="20">
        <v>9975.16</v>
      </c>
      <c r="G32" s="21">
        <v>1.37E-2</v>
      </c>
      <c r="H32" s="22">
        <v>7.7350000000000002E-2</v>
      </c>
      <c r="I32" s="23"/>
    </row>
    <row r="33" spans="1:9" ht="12.9" customHeight="1">
      <c r="A33" s="17" t="s">
        <v>385</v>
      </c>
      <c r="B33" s="18" t="s">
        <v>386</v>
      </c>
      <c r="C33" s="14" t="s">
        <v>387</v>
      </c>
      <c r="D33" s="14" t="s">
        <v>372</v>
      </c>
      <c r="E33" s="19">
        <v>9000</v>
      </c>
      <c r="F33" s="20">
        <v>9116.5319999999992</v>
      </c>
      <c r="G33" s="21">
        <v>1.2500000000000001E-2</v>
      </c>
      <c r="H33" s="22">
        <v>6.8699999999999997E-2</v>
      </c>
      <c r="I33" s="23"/>
    </row>
    <row r="34" spans="1:9" ht="12.9" customHeight="1">
      <c r="A34" s="17" t="s">
        <v>2672</v>
      </c>
      <c r="B34" s="18" t="s">
        <v>2673</v>
      </c>
      <c r="C34" s="14" t="s">
        <v>2674</v>
      </c>
      <c r="D34" s="14" t="s">
        <v>372</v>
      </c>
      <c r="E34" s="19">
        <v>9000</v>
      </c>
      <c r="F34" s="20">
        <v>9050.616</v>
      </c>
      <c r="G34" s="21">
        <v>1.2500000000000001E-2</v>
      </c>
      <c r="H34" s="22">
        <v>6.7150000000000001E-2</v>
      </c>
      <c r="I34" s="23"/>
    </row>
    <row r="35" spans="1:9" ht="12.9" customHeight="1">
      <c r="A35" s="17" t="s">
        <v>409</v>
      </c>
      <c r="B35" s="18" t="s">
        <v>410</v>
      </c>
      <c r="C35" s="14" t="s">
        <v>411</v>
      </c>
      <c r="D35" s="14" t="s">
        <v>372</v>
      </c>
      <c r="E35" s="19">
        <v>8500</v>
      </c>
      <c r="F35" s="20">
        <v>8615.0134999999991</v>
      </c>
      <c r="G35" s="21">
        <v>1.1900000000000001E-2</v>
      </c>
      <c r="H35" s="22">
        <v>6.8449999999999997E-2</v>
      </c>
      <c r="I35" s="23"/>
    </row>
    <row r="36" spans="1:9" ht="12.9" customHeight="1">
      <c r="A36" s="17" t="s">
        <v>1648</v>
      </c>
      <c r="B36" s="18" t="s">
        <v>1649</v>
      </c>
      <c r="C36" s="14" t="s">
        <v>1650</v>
      </c>
      <c r="D36" s="14" t="s">
        <v>1545</v>
      </c>
      <c r="E36" s="19">
        <v>7500</v>
      </c>
      <c r="F36" s="20">
        <v>7709.6774999999998</v>
      </c>
      <c r="G36" s="21">
        <v>1.06E-2</v>
      </c>
      <c r="H36" s="22">
        <v>8.1049999999999997E-2</v>
      </c>
      <c r="I36" s="23"/>
    </row>
    <row r="37" spans="1:9" ht="12.9" customHeight="1">
      <c r="A37" s="17" t="s">
        <v>2837</v>
      </c>
      <c r="B37" s="18" t="s">
        <v>2838</v>
      </c>
      <c r="C37" s="14" t="s">
        <v>2839</v>
      </c>
      <c r="D37" s="14" t="s">
        <v>84</v>
      </c>
      <c r="E37" s="19">
        <v>7428400</v>
      </c>
      <c r="F37" s="20">
        <v>7533.2222000000002</v>
      </c>
      <c r="G37" s="21">
        <v>1.04E-2</v>
      </c>
      <c r="H37" s="22">
        <v>5.9452999999999999E-2</v>
      </c>
      <c r="I37" s="23"/>
    </row>
    <row r="38" spans="1:9" ht="12.9" customHeight="1">
      <c r="A38" s="17" t="s">
        <v>2840</v>
      </c>
      <c r="B38" s="18" t="s">
        <v>2841</v>
      </c>
      <c r="C38" s="14" t="s">
        <v>2842</v>
      </c>
      <c r="D38" s="14" t="s">
        <v>109</v>
      </c>
      <c r="E38" s="19">
        <v>750</v>
      </c>
      <c r="F38" s="20">
        <v>7511.1750000000002</v>
      </c>
      <c r="G38" s="21">
        <v>1.03E-2</v>
      </c>
      <c r="H38" s="22">
        <v>6.3600000000000004E-2</v>
      </c>
      <c r="I38" s="23"/>
    </row>
    <row r="39" spans="1:9" ht="12.9" customHeight="1">
      <c r="A39" s="17" t="s">
        <v>998</v>
      </c>
      <c r="B39" s="18" t="s">
        <v>999</v>
      </c>
      <c r="C39" s="14" t="s">
        <v>1000</v>
      </c>
      <c r="D39" s="14" t="s">
        <v>109</v>
      </c>
      <c r="E39" s="19">
        <v>7500</v>
      </c>
      <c r="F39" s="20">
        <v>7485.9975000000004</v>
      </c>
      <c r="G39" s="21">
        <v>1.03E-2</v>
      </c>
      <c r="H39" s="22">
        <v>6.8250000000000005E-2</v>
      </c>
      <c r="I39" s="23"/>
    </row>
    <row r="40" spans="1:9" ht="12.9" customHeight="1">
      <c r="A40" s="17" t="s">
        <v>1546</v>
      </c>
      <c r="B40" s="18" t="s">
        <v>1547</v>
      </c>
      <c r="C40" s="14" t="s">
        <v>1548</v>
      </c>
      <c r="D40" s="14" t="s">
        <v>1545</v>
      </c>
      <c r="E40" s="19">
        <v>6500</v>
      </c>
      <c r="F40" s="20">
        <v>6908.8694999999998</v>
      </c>
      <c r="G40" s="21">
        <v>9.4999999999999998E-3</v>
      </c>
      <c r="H40" s="22">
        <v>8.3376000000000006E-2</v>
      </c>
      <c r="I40" s="23"/>
    </row>
    <row r="41" spans="1:9" ht="12.9" customHeight="1">
      <c r="A41" s="17" t="s">
        <v>2843</v>
      </c>
      <c r="B41" s="18" t="s">
        <v>2844</v>
      </c>
      <c r="C41" s="14" t="s">
        <v>2845</v>
      </c>
      <c r="D41" s="14" t="s">
        <v>84</v>
      </c>
      <c r="E41" s="19">
        <v>6634700</v>
      </c>
      <c r="F41" s="20">
        <v>6713.0623999999998</v>
      </c>
      <c r="G41" s="21">
        <v>9.1999999999999998E-3</v>
      </c>
      <c r="H41" s="22">
        <v>5.9452999999999999E-2</v>
      </c>
      <c r="I41" s="23"/>
    </row>
    <row r="42" spans="1:9" ht="12.9" customHeight="1">
      <c r="A42" s="17" t="s">
        <v>2564</v>
      </c>
      <c r="B42" s="18" t="s">
        <v>2565</v>
      </c>
      <c r="C42" s="14" t="s">
        <v>2566</v>
      </c>
      <c r="D42" s="14" t="s">
        <v>109</v>
      </c>
      <c r="E42" s="19">
        <v>6500</v>
      </c>
      <c r="F42" s="20">
        <v>6534.2420000000002</v>
      </c>
      <c r="G42" s="21">
        <v>8.9999999999999993E-3</v>
      </c>
      <c r="H42" s="22">
        <v>6.7100000000000007E-2</v>
      </c>
      <c r="I42" s="23"/>
    </row>
    <row r="43" spans="1:9" ht="12.9" customHeight="1">
      <c r="A43" s="17" t="s">
        <v>1233</v>
      </c>
      <c r="B43" s="18" t="s">
        <v>1234</v>
      </c>
      <c r="C43" s="14" t="s">
        <v>1235</v>
      </c>
      <c r="D43" s="14" t="s">
        <v>84</v>
      </c>
      <c r="E43" s="19">
        <v>6000000</v>
      </c>
      <c r="F43" s="20">
        <v>6137.5020000000004</v>
      </c>
      <c r="G43" s="21">
        <v>8.3999999999999995E-3</v>
      </c>
      <c r="H43" s="22">
        <v>6.0024000000000001E-2</v>
      </c>
      <c r="I43" s="23"/>
    </row>
    <row r="44" spans="1:9" ht="12.9" customHeight="1">
      <c r="A44" s="17" t="s">
        <v>2591</v>
      </c>
      <c r="B44" s="18" t="s">
        <v>2592</v>
      </c>
      <c r="C44" s="14" t="s">
        <v>2593</v>
      </c>
      <c r="D44" s="14" t="s">
        <v>372</v>
      </c>
      <c r="E44" s="19">
        <v>5100</v>
      </c>
      <c r="F44" s="20">
        <v>5171.6396999999997</v>
      </c>
      <c r="G44" s="21">
        <v>7.1000000000000004E-3</v>
      </c>
      <c r="H44" s="22">
        <v>7.1999999999999995E-2</v>
      </c>
      <c r="I44" s="23"/>
    </row>
    <row r="45" spans="1:9" ht="12.9" customHeight="1">
      <c r="A45" s="17" t="s">
        <v>2846</v>
      </c>
      <c r="B45" s="18" t="s">
        <v>2847</v>
      </c>
      <c r="C45" s="14" t="s">
        <v>2848</v>
      </c>
      <c r="D45" s="14" t="s">
        <v>84</v>
      </c>
      <c r="E45" s="19">
        <v>5000000</v>
      </c>
      <c r="F45" s="20">
        <v>5104.2449999999999</v>
      </c>
      <c r="G45" s="21">
        <v>7.0000000000000001E-3</v>
      </c>
      <c r="H45" s="22">
        <v>6.0024000000000001E-2</v>
      </c>
      <c r="I45" s="23"/>
    </row>
    <row r="46" spans="1:9" ht="12.9" customHeight="1">
      <c r="A46" s="17" t="s">
        <v>1416</v>
      </c>
      <c r="B46" s="18" t="s">
        <v>1417</v>
      </c>
      <c r="C46" s="14" t="s">
        <v>1418</v>
      </c>
      <c r="D46" s="14" t="s">
        <v>109</v>
      </c>
      <c r="E46" s="19">
        <v>5000</v>
      </c>
      <c r="F46" s="20">
        <v>5103.6549999999997</v>
      </c>
      <c r="G46" s="21">
        <v>7.0000000000000001E-3</v>
      </c>
      <c r="H46" s="22">
        <v>7.4149999999999994E-2</v>
      </c>
      <c r="I46" s="23"/>
    </row>
    <row r="47" spans="1:9" ht="12.9" customHeight="1">
      <c r="A47" s="17" t="s">
        <v>1239</v>
      </c>
      <c r="B47" s="18" t="s">
        <v>1240</v>
      </c>
      <c r="C47" s="14" t="s">
        <v>1241</v>
      </c>
      <c r="D47" s="14" t="s">
        <v>84</v>
      </c>
      <c r="E47" s="19">
        <v>5000000</v>
      </c>
      <c r="F47" s="20">
        <v>5101.6000000000004</v>
      </c>
      <c r="G47" s="21">
        <v>7.0000000000000001E-3</v>
      </c>
      <c r="H47" s="22">
        <v>6.0024000000000001E-2</v>
      </c>
      <c r="I47" s="23"/>
    </row>
    <row r="48" spans="1:9" ht="12.9" customHeight="1">
      <c r="A48" s="17" t="s">
        <v>1413</v>
      </c>
      <c r="B48" s="18" t="s">
        <v>1414</v>
      </c>
      <c r="C48" s="14" t="s">
        <v>1415</v>
      </c>
      <c r="D48" s="14" t="s">
        <v>895</v>
      </c>
      <c r="E48" s="19">
        <v>5000</v>
      </c>
      <c r="F48" s="20">
        <v>5066.6450000000004</v>
      </c>
      <c r="G48" s="21">
        <v>7.0000000000000001E-3</v>
      </c>
      <c r="H48" s="22">
        <v>7.8325000000000006E-2</v>
      </c>
      <c r="I48" s="23"/>
    </row>
    <row r="49" spans="1:9" ht="12.9" customHeight="1">
      <c r="A49" s="17" t="s">
        <v>388</v>
      </c>
      <c r="B49" s="18" t="s">
        <v>389</v>
      </c>
      <c r="C49" s="14" t="s">
        <v>390</v>
      </c>
      <c r="D49" s="14" t="s">
        <v>109</v>
      </c>
      <c r="E49" s="19">
        <v>5000</v>
      </c>
      <c r="F49" s="20">
        <v>5064.6899999999996</v>
      </c>
      <c r="G49" s="21">
        <v>7.0000000000000001E-3</v>
      </c>
      <c r="H49" s="22">
        <v>6.8349999999999994E-2</v>
      </c>
      <c r="I49" s="23"/>
    </row>
    <row r="50" spans="1:9" ht="12.9" customHeight="1">
      <c r="A50" s="17" t="s">
        <v>613</v>
      </c>
      <c r="B50" s="18" t="s">
        <v>614</v>
      </c>
      <c r="C50" s="14" t="s">
        <v>615</v>
      </c>
      <c r="D50" s="14" t="s">
        <v>109</v>
      </c>
      <c r="E50" s="19">
        <v>5000</v>
      </c>
      <c r="F50" s="20">
        <v>5059.2650000000003</v>
      </c>
      <c r="G50" s="21">
        <v>7.0000000000000001E-3</v>
      </c>
      <c r="H50" s="22">
        <v>7.2999999999999995E-2</v>
      </c>
      <c r="I50" s="23"/>
    </row>
    <row r="51" spans="1:9" ht="12.9" customHeight="1">
      <c r="A51" s="17" t="s">
        <v>2849</v>
      </c>
      <c r="B51" s="18" t="s">
        <v>2850</v>
      </c>
      <c r="C51" s="14" t="s">
        <v>2851</v>
      </c>
      <c r="D51" s="14" t="s">
        <v>84</v>
      </c>
      <c r="E51" s="19">
        <v>5000000</v>
      </c>
      <c r="F51" s="20">
        <v>5057.47</v>
      </c>
      <c r="G51" s="21">
        <v>7.0000000000000001E-3</v>
      </c>
      <c r="H51" s="22">
        <v>5.8159000000000002E-2</v>
      </c>
      <c r="I51" s="23"/>
    </row>
    <row r="52" spans="1:9" ht="12.9" customHeight="1">
      <c r="A52" s="17" t="s">
        <v>2636</v>
      </c>
      <c r="B52" s="18" t="s">
        <v>2637</v>
      </c>
      <c r="C52" s="14" t="s">
        <v>2638</v>
      </c>
      <c r="D52" s="14" t="s">
        <v>372</v>
      </c>
      <c r="E52" s="19">
        <v>5000</v>
      </c>
      <c r="F52" s="20">
        <v>5052.7550000000001</v>
      </c>
      <c r="G52" s="21">
        <v>7.0000000000000001E-3</v>
      </c>
      <c r="H52" s="22">
        <v>6.8449999999999997E-2</v>
      </c>
      <c r="I52" s="23"/>
    </row>
    <row r="53" spans="1:9" ht="12.9" customHeight="1">
      <c r="A53" s="17" t="s">
        <v>2852</v>
      </c>
      <c r="B53" s="18" t="s">
        <v>2853</v>
      </c>
      <c r="C53" s="14" t="s">
        <v>2854</v>
      </c>
      <c r="D53" s="14" t="s">
        <v>1444</v>
      </c>
      <c r="E53" s="19">
        <v>5000</v>
      </c>
      <c r="F53" s="20">
        <v>5049.2849999999999</v>
      </c>
      <c r="G53" s="21">
        <v>6.8999999999999999E-3</v>
      </c>
      <c r="H53" s="22">
        <v>7.5649999999999995E-2</v>
      </c>
      <c r="I53" s="23"/>
    </row>
    <row r="54" spans="1:9" ht="12.9" customHeight="1">
      <c r="A54" s="17" t="s">
        <v>1428</v>
      </c>
      <c r="B54" s="18" t="s">
        <v>1429</v>
      </c>
      <c r="C54" s="14" t="s">
        <v>1430</v>
      </c>
      <c r="D54" s="14" t="s">
        <v>895</v>
      </c>
      <c r="E54" s="19">
        <v>5000</v>
      </c>
      <c r="F54" s="20">
        <v>5047.2849999999999</v>
      </c>
      <c r="G54" s="21">
        <v>6.8999999999999999E-3</v>
      </c>
      <c r="H54" s="22">
        <v>7.6249999999999998E-2</v>
      </c>
      <c r="I54" s="23"/>
    </row>
    <row r="55" spans="1:9" ht="12.9" customHeight="1">
      <c r="A55" s="17" t="s">
        <v>2855</v>
      </c>
      <c r="B55" s="18" t="s">
        <v>2856</v>
      </c>
      <c r="C55" s="14" t="s">
        <v>2857</v>
      </c>
      <c r="D55" s="14" t="s">
        <v>994</v>
      </c>
      <c r="E55" s="19">
        <v>5000</v>
      </c>
      <c r="F55" s="20">
        <v>5022.4650000000001</v>
      </c>
      <c r="G55" s="21">
        <v>6.8999999999999999E-3</v>
      </c>
      <c r="H55" s="22">
        <v>7.3150000000000007E-2</v>
      </c>
      <c r="I55" s="23"/>
    </row>
    <row r="56" spans="1:9" ht="12.9" customHeight="1">
      <c r="A56" s="17" t="s">
        <v>1445</v>
      </c>
      <c r="B56" s="18" t="s">
        <v>1446</v>
      </c>
      <c r="C56" s="14" t="s">
        <v>1447</v>
      </c>
      <c r="D56" s="14" t="s">
        <v>1448</v>
      </c>
      <c r="E56" s="19">
        <v>5000</v>
      </c>
      <c r="F56" s="20">
        <v>5015.74</v>
      </c>
      <c r="G56" s="21">
        <v>6.8999999999999999E-3</v>
      </c>
      <c r="H56" s="22">
        <v>7.2799000000000003E-2</v>
      </c>
      <c r="I56" s="23"/>
    </row>
    <row r="57" spans="1:9" ht="12.9" customHeight="1">
      <c r="A57" s="17" t="s">
        <v>2570</v>
      </c>
      <c r="B57" s="18" t="s">
        <v>2571</v>
      </c>
      <c r="C57" s="14" t="s">
        <v>2572</v>
      </c>
      <c r="D57" s="14" t="s">
        <v>372</v>
      </c>
      <c r="E57" s="19">
        <v>5000</v>
      </c>
      <c r="F57" s="20">
        <v>5013.4549999999999</v>
      </c>
      <c r="G57" s="21">
        <v>6.8999999999999999E-3</v>
      </c>
      <c r="H57" s="22">
        <v>7.22E-2</v>
      </c>
      <c r="I57" s="23"/>
    </row>
    <row r="58" spans="1:9" ht="12.9" customHeight="1">
      <c r="A58" s="17" t="s">
        <v>529</v>
      </c>
      <c r="B58" s="18" t="s">
        <v>530</v>
      </c>
      <c r="C58" s="14" t="s">
        <v>531</v>
      </c>
      <c r="D58" s="14" t="s">
        <v>109</v>
      </c>
      <c r="E58" s="19">
        <v>5000</v>
      </c>
      <c r="F58" s="20">
        <v>5009.9849999999997</v>
      </c>
      <c r="G58" s="21">
        <v>6.8999999999999999E-3</v>
      </c>
      <c r="H58" s="22">
        <v>7.1473999999999996E-2</v>
      </c>
      <c r="I58" s="23"/>
    </row>
    <row r="59" spans="1:9" ht="12.9" customHeight="1">
      <c r="A59" s="17" t="s">
        <v>2858</v>
      </c>
      <c r="B59" s="18" t="s">
        <v>2859</v>
      </c>
      <c r="C59" s="14" t="s">
        <v>2860</v>
      </c>
      <c r="D59" s="14" t="s">
        <v>895</v>
      </c>
      <c r="E59" s="19">
        <v>5000</v>
      </c>
      <c r="F59" s="20">
        <v>4999.7449999999999</v>
      </c>
      <c r="G59" s="21">
        <v>6.8999999999999999E-3</v>
      </c>
      <c r="H59" s="22">
        <v>7.8747999999999999E-2</v>
      </c>
      <c r="I59" s="23"/>
    </row>
    <row r="60" spans="1:9" ht="12.9" customHeight="1">
      <c r="A60" s="17" t="s">
        <v>400</v>
      </c>
      <c r="B60" s="18" t="s">
        <v>401</v>
      </c>
      <c r="C60" s="14" t="s">
        <v>402</v>
      </c>
      <c r="D60" s="14" t="s">
        <v>372</v>
      </c>
      <c r="E60" s="19">
        <v>5000</v>
      </c>
      <c r="F60" s="20">
        <v>4981.585</v>
      </c>
      <c r="G60" s="21">
        <v>6.8999999999999999E-3</v>
      </c>
      <c r="H60" s="22">
        <v>6.8199999999999997E-2</v>
      </c>
      <c r="I60" s="23"/>
    </row>
    <row r="61" spans="1:9" ht="12.9" customHeight="1">
      <c r="A61" s="17" t="s">
        <v>1004</v>
      </c>
      <c r="B61" s="18" t="s">
        <v>1005</v>
      </c>
      <c r="C61" s="14" t="s">
        <v>1006</v>
      </c>
      <c r="D61" s="14" t="s">
        <v>372</v>
      </c>
      <c r="E61" s="19">
        <v>5000</v>
      </c>
      <c r="F61" s="20">
        <v>4970.8500000000004</v>
      </c>
      <c r="G61" s="21">
        <v>6.7999999999999996E-3</v>
      </c>
      <c r="H61" s="22">
        <v>6.8199999999999997E-2</v>
      </c>
      <c r="I61" s="23"/>
    </row>
    <row r="62" spans="1:9" ht="12.9" customHeight="1">
      <c r="A62" s="17" t="s">
        <v>2861</v>
      </c>
      <c r="B62" s="18" t="s">
        <v>2862</v>
      </c>
      <c r="C62" s="14" t="s">
        <v>2863</v>
      </c>
      <c r="D62" s="14" t="s">
        <v>84</v>
      </c>
      <c r="E62" s="19">
        <v>4500000</v>
      </c>
      <c r="F62" s="20">
        <v>4583.0474999999997</v>
      </c>
      <c r="G62" s="21">
        <v>6.3E-3</v>
      </c>
      <c r="H62" s="22">
        <v>6.0024000000000001E-2</v>
      </c>
      <c r="I62" s="23"/>
    </row>
    <row r="63" spans="1:9" ht="12.9" customHeight="1">
      <c r="A63" s="17" t="s">
        <v>1552</v>
      </c>
      <c r="B63" s="18" t="s">
        <v>1553</v>
      </c>
      <c r="C63" s="14" t="s">
        <v>1554</v>
      </c>
      <c r="D63" s="14" t="s">
        <v>895</v>
      </c>
      <c r="E63" s="19">
        <v>4500</v>
      </c>
      <c r="F63" s="20">
        <v>4562.8424999999997</v>
      </c>
      <c r="G63" s="21">
        <v>6.3E-3</v>
      </c>
      <c r="H63" s="22">
        <v>7.8325000000000006E-2</v>
      </c>
      <c r="I63" s="23"/>
    </row>
    <row r="64" spans="1:9" ht="12.9" customHeight="1">
      <c r="A64" s="17" t="s">
        <v>1558</v>
      </c>
      <c r="B64" s="18" t="s">
        <v>1559</v>
      </c>
      <c r="C64" s="14" t="s">
        <v>1560</v>
      </c>
      <c r="D64" s="14" t="s">
        <v>1437</v>
      </c>
      <c r="E64" s="19">
        <v>4500</v>
      </c>
      <c r="F64" s="20">
        <v>4508.9504999999999</v>
      </c>
      <c r="G64" s="21">
        <v>6.1999999999999998E-3</v>
      </c>
      <c r="H64" s="22">
        <v>8.5898000000000002E-2</v>
      </c>
      <c r="I64" s="23"/>
    </row>
    <row r="65" spans="1:9" ht="12.9" customHeight="1">
      <c r="A65" s="17" t="s">
        <v>1561</v>
      </c>
      <c r="B65" s="18" t="s">
        <v>1562</v>
      </c>
      <c r="C65" s="14" t="s">
        <v>1563</v>
      </c>
      <c r="D65" s="14" t="s">
        <v>1437</v>
      </c>
      <c r="E65" s="19">
        <v>4500</v>
      </c>
      <c r="F65" s="20">
        <v>4494.3525</v>
      </c>
      <c r="G65" s="21">
        <v>6.1999999999999998E-3</v>
      </c>
      <c r="H65" s="22">
        <v>8.7849999999999998E-2</v>
      </c>
      <c r="I65" s="23"/>
    </row>
    <row r="66" spans="1:9" ht="12.9" customHeight="1">
      <c r="A66" s="17" t="s">
        <v>2600</v>
      </c>
      <c r="B66" s="18" t="s">
        <v>2601</v>
      </c>
      <c r="C66" s="14" t="s">
        <v>2602</v>
      </c>
      <c r="D66" s="14" t="s">
        <v>895</v>
      </c>
      <c r="E66" s="19">
        <v>4000</v>
      </c>
      <c r="F66" s="20">
        <v>4060.7159999999999</v>
      </c>
      <c r="G66" s="21">
        <v>5.5999999999999999E-3</v>
      </c>
      <c r="H66" s="22">
        <v>7.8E-2</v>
      </c>
      <c r="I66" s="23"/>
    </row>
    <row r="67" spans="1:9" ht="12.9" customHeight="1">
      <c r="A67" s="17" t="s">
        <v>2639</v>
      </c>
      <c r="B67" s="18" t="s">
        <v>2640</v>
      </c>
      <c r="C67" s="14" t="s">
        <v>2641</v>
      </c>
      <c r="D67" s="14" t="s">
        <v>109</v>
      </c>
      <c r="E67" s="19">
        <v>3500</v>
      </c>
      <c r="F67" s="20">
        <v>3487.9074999999998</v>
      </c>
      <c r="G67" s="21">
        <v>4.7999999999999996E-3</v>
      </c>
      <c r="H67" s="22">
        <v>7.2499999999999995E-2</v>
      </c>
      <c r="I67" s="23"/>
    </row>
    <row r="68" spans="1:9" ht="12.9" customHeight="1">
      <c r="A68" s="17" t="s">
        <v>1542</v>
      </c>
      <c r="B68" s="18" t="s">
        <v>1543</v>
      </c>
      <c r="C68" s="14" t="s">
        <v>1544</v>
      </c>
      <c r="D68" s="14" t="s">
        <v>1545</v>
      </c>
      <c r="E68" s="19">
        <v>3000</v>
      </c>
      <c r="F68" s="20">
        <v>3198.9389999999999</v>
      </c>
      <c r="G68" s="21">
        <v>4.4000000000000003E-3</v>
      </c>
      <c r="H68" s="22">
        <v>8.3776000000000003E-2</v>
      </c>
      <c r="I68" s="23"/>
    </row>
    <row r="69" spans="1:9" ht="12.9" customHeight="1">
      <c r="A69" s="17" t="s">
        <v>1635</v>
      </c>
      <c r="B69" s="18" t="s">
        <v>1636</v>
      </c>
      <c r="C69" s="14" t="s">
        <v>1637</v>
      </c>
      <c r="D69" s="14" t="s">
        <v>1437</v>
      </c>
      <c r="E69" s="19">
        <v>3000</v>
      </c>
      <c r="F69" s="20">
        <v>3045.8040000000001</v>
      </c>
      <c r="G69" s="21">
        <v>4.1999999999999997E-3</v>
      </c>
      <c r="H69" s="22">
        <v>7.6600000000000001E-2</v>
      </c>
      <c r="I69" s="23"/>
    </row>
    <row r="70" spans="1:9" ht="12.9" customHeight="1">
      <c r="A70" s="17" t="s">
        <v>2864</v>
      </c>
      <c r="B70" s="18" t="s">
        <v>2865</v>
      </c>
      <c r="C70" s="14" t="s">
        <v>2866</v>
      </c>
      <c r="D70" s="14" t="s">
        <v>84</v>
      </c>
      <c r="E70" s="19">
        <v>3030000</v>
      </c>
      <c r="F70" s="20">
        <v>3042.1927000000001</v>
      </c>
      <c r="G70" s="21">
        <v>4.1999999999999997E-3</v>
      </c>
      <c r="H70" s="22">
        <v>5.4926000000000003E-2</v>
      </c>
      <c r="I70" s="23"/>
    </row>
    <row r="71" spans="1:9" ht="12.9" customHeight="1">
      <c r="A71" s="17" t="s">
        <v>580</v>
      </c>
      <c r="B71" s="18" t="s">
        <v>581</v>
      </c>
      <c r="C71" s="14" t="s">
        <v>582</v>
      </c>
      <c r="D71" s="14" t="s">
        <v>109</v>
      </c>
      <c r="E71" s="19">
        <v>2500</v>
      </c>
      <c r="F71" s="20">
        <v>2560.9625000000001</v>
      </c>
      <c r="G71" s="21">
        <v>3.5000000000000001E-3</v>
      </c>
      <c r="H71" s="22">
        <v>7.2499999999999995E-2</v>
      </c>
      <c r="I71" s="23"/>
    </row>
    <row r="72" spans="1:9" ht="12.9" customHeight="1">
      <c r="A72" s="17" t="s">
        <v>2867</v>
      </c>
      <c r="B72" s="18" t="s">
        <v>2868</v>
      </c>
      <c r="C72" s="14" t="s">
        <v>2869</v>
      </c>
      <c r="D72" s="14" t="s">
        <v>84</v>
      </c>
      <c r="E72" s="19">
        <v>2500000</v>
      </c>
      <c r="F72" s="20">
        <v>2533.4949999999999</v>
      </c>
      <c r="G72" s="21">
        <v>3.5000000000000001E-3</v>
      </c>
      <c r="H72" s="22">
        <v>6.0024000000000001E-2</v>
      </c>
      <c r="I72" s="23"/>
    </row>
    <row r="73" spans="1:9" ht="12.9" customHeight="1">
      <c r="A73" s="17" t="s">
        <v>607</v>
      </c>
      <c r="B73" s="18" t="s">
        <v>608</v>
      </c>
      <c r="C73" s="14" t="s">
        <v>609</v>
      </c>
      <c r="D73" s="14" t="s">
        <v>109</v>
      </c>
      <c r="E73" s="19">
        <v>2500</v>
      </c>
      <c r="F73" s="20">
        <v>2531.9924999999998</v>
      </c>
      <c r="G73" s="21">
        <v>3.5000000000000001E-3</v>
      </c>
      <c r="H73" s="22">
        <v>6.8349999999999994E-2</v>
      </c>
      <c r="I73" s="23"/>
    </row>
    <row r="74" spans="1:9" ht="12.9" customHeight="1">
      <c r="A74" s="17" t="s">
        <v>2561</v>
      </c>
      <c r="B74" s="18" t="s">
        <v>2562</v>
      </c>
      <c r="C74" s="14" t="s">
        <v>2563</v>
      </c>
      <c r="D74" s="14" t="s">
        <v>109</v>
      </c>
      <c r="E74" s="19">
        <v>2500</v>
      </c>
      <c r="F74" s="20">
        <v>2530.23</v>
      </c>
      <c r="G74" s="21">
        <v>3.5000000000000001E-3</v>
      </c>
      <c r="H74" s="22">
        <v>6.8349999999999994E-2</v>
      </c>
      <c r="I74" s="23"/>
    </row>
    <row r="75" spans="1:9" ht="12.9" customHeight="1">
      <c r="A75" s="17" t="s">
        <v>2870</v>
      </c>
      <c r="B75" s="18" t="s">
        <v>2871</v>
      </c>
      <c r="C75" s="14" t="s">
        <v>2872</v>
      </c>
      <c r="D75" s="14" t="s">
        <v>84</v>
      </c>
      <c r="E75" s="19">
        <v>2500000</v>
      </c>
      <c r="F75" s="20">
        <v>2529.4375</v>
      </c>
      <c r="G75" s="21">
        <v>3.5000000000000001E-3</v>
      </c>
      <c r="H75" s="22">
        <v>5.9492000000000003E-2</v>
      </c>
      <c r="I75" s="23"/>
    </row>
    <row r="76" spans="1:9" ht="12.9" customHeight="1">
      <c r="A76" s="17" t="s">
        <v>1651</v>
      </c>
      <c r="B76" s="18" t="s">
        <v>1652</v>
      </c>
      <c r="C76" s="14" t="s">
        <v>1653</v>
      </c>
      <c r="D76" s="14" t="s">
        <v>1545</v>
      </c>
      <c r="E76" s="19">
        <v>2500</v>
      </c>
      <c r="F76" s="20">
        <v>2528.125</v>
      </c>
      <c r="G76" s="21">
        <v>3.5000000000000001E-3</v>
      </c>
      <c r="H76" s="22">
        <v>7.8600000000000003E-2</v>
      </c>
      <c r="I76" s="23"/>
    </row>
    <row r="77" spans="1:9" ht="12.9" customHeight="1">
      <c r="A77" s="17" t="s">
        <v>2541</v>
      </c>
      <c r="B77" s="18" t="s">
        <v>2542</v>
      </c>
      <c r="C77" s="14" t="s">
        <v>2543</v>
      </c>
      <c r="D77" s="14" t="s">
        <v>84</v>
      </c>
      <c r="E77" s="19">
        <v>2500000</v>
      </c>
      <c r="F77" s="20">
        <v>2510.0625</v>
      </c>
      <c r="G77" s="21">
        <v>3.5000000000000001E-3</v>
      </c>
      <c r="H77" s="22">
        <v>5.5291E-2</v>
      </c>
      <c r="I77" s="23"/>
    </row>
    <row r="78" spans="1:9" ht="12.9" customHeight="1">
      <c r="A78" s="17" t="s">
        <v>397</v>
      </c>
      <c r="B78" s="18" t="s">
        <v>398</v>
      </c>
      <c r="C78" s="14" t="s">
        <v>399</v>
      </c>
      <c r="D78" s="14" t="s">
        <v>109</v>
      </c>
      <c r="E78" s="19">
        <v>2500</v>
      </c>
      <c r="F78" s="20">
        <v>2500.4724999999999</v>
      </c>
      <c r="G78" s="21">
        <v>3.3999999999999998E-3</v>
      </c>
      <c r="H78" s="22">
        <v>7.0699999999999999E-2</v>
      </c>
      <c r="I78" s="23"/>
    </row>
    <row r="79" spans="1:9" ht="12.9" customHeight="1">
      <c r="A79" s="17" t="s">
        <v>821</v>
      </c>
      <c r="B79" s="18" t="s">
        <v>822</v>
      </c>
      <c r="C79" s="14" t="s">
        <v>823</v>
      </c>
      <c r="D79" s="14" t="s">
        <v>109</v>
      </c>
      <c r="E79" s="19">
        <v>2500</v>
      </c>
      <c r="F79" s="20">
        <v>2499.23</v>
      </c>
      <c r="G79" s="21">
        <v>3.3999999999999998E-3</v>
      </c>
      <c r="H79" s="22">
        <v>7.1800000000000003E-2</v>
      </c>
      <c r="I79" s="23"/>
    </row>
    <row r="80" spans="1:9" ht="12.9" customHeight="1">
      <c r="A80" s="17" t="s">
        <v>1038</v>
      </c>
      <c r="B80" s="18" t="s">
        <v>1039</v>
      </c>
      <c r="C80" s="14" t="s">
        <v>1040</v>
      </c>
      <c r="D80" s="14" t="s">
        <v>109</v>
      </c>
      <c r="E80" s="19">
        <v>2500</v>
      </c>
      <c r="F80" s="20">
        <v>2499.1374999999998</v>
      </c>
      <c r="G80" s="21">
        <v>3.3999999999999998E-3</v>
      </c>
      <c r="H80" s="22">
        <v>7.3138999999999996E-2</v>
      </c>
      <c r="I80" s="23"/>
    </row>
    <row r="81" spans="1:9" ht="12.9" customHeight="1">
      <c r="A81" s="17" t="s">
        <v>2618</v>
      </c>
      <c r="B81" s="18" t="s">
        <v>2619</v>
      </c>
      <c r="C81" s="14" t="s">
        <v>2620</v>
      </c>
      <c r="D81" s="14" t="s">
        <v>109</v>
      </c>
      <c r="E81" s="19">
        <v>2500</v>
      </c>
      <c r="F81" s="20">
        <v>2495.9299999999998</v>
      </c>
      <c r="G81" s="21">
        <v>3.3999999999999998E-3</v>
      </c>
      <c r="H81" s="22">
        <v>6.9750000000000006E-2</v>
      </c>
      <c r="I81" s="23"/>
    </row>
    <row r="82" spans="1:9" ht="12.9" customHeight="1">
      <c r="A82" s="17" t="s">
        <v>2873</v>
      </c>
      <c r="B82" s="18" t="s">
        <v>2874</v>
      </c>
      <c r="C82" s="14" t="s">
        <v>2875</v>
      </c>
      <c r="D82" s="14" t="s">
        <v>109</v>
      </c>
      <c r="E82" s="19">
        <v>2500</v>
      </c>
      <c r="F82" s="20">
        <v>2389.0749999999998</v>
      </c>
      <c r="G82" s="21">
        <v>3.3E-3</v>
      </c>
      <c r="H82" s="22">
        <v>6.7251000000000005E-2</v>
      </c>
      <c r="I82" s="23"/>
    </row>
    <row r="83" spans="1:9" ht="12.9" customHeight="1">
      <c r="A83" s="17" t="s">
        <v>2558</v>
      </c>
      <c r="B83" s="18" t="s">
        <v>2559</v>
      </c>
      <c r="C83" s="14" t="s">
        <v>2560</v>
      </c>
      <c r="D83" s="14" t="s">
        <v>895</v>
      </c>
      <c r="E83" s="19">
        <v>2000</v>
      </c>
      <c r="F83" s="20">
        <v>2084.1840000000002</v>
      </c>
      <c r="G83" s="21">
        <v>2.8999999999999998E-3</v>
      </c>
      <c r="H83" s="22">
        <v>7.7149999999999996E-2</v>
      </c>
      <c r="I83" s="23"/>
    </row>
    <row r="84" spans="1:9" ht="12.9" customHeight="1">
      <c r="A84" s="17" t="s">
        <v>2876</v>
      </c>
      <c r="B84" s="18" t="s">
        <v>2877</v>
      </c>
      <c r="C84" s="14" t="s">
        <v>2878</v>
      </c>
      <c r="D84" s="14" t="s">
        <v>109</v>
      </c>
      <c r="E84" s="19">
        <v>2000</v>
      </c>
      <c r="F84" s="20">
        <v>2019.222</v>
      </c>
      <c r="G84" s="21">
        <v>2.8E-3</v>
      </c>
      <c r="H84" s="22">
        <v>6.83E-2</v>
      </c>
      <c r="I84" s="23"/>
    </row>
    <row r="85" spans="1:9" ht="12.9" customHeight="1">
      <c r="A85" s="17" t="s">
        <v>2879</v>
      </c>
      <c r="B85" s="18" t="s">
        <v>2880</v>
      </c>
      <c r="C85" s="14" t="s">
        <v>2881</v>
      </c>
      <c r="D85" s="14" t="s">
        <v>109</v>
      </c>
      <c r="E85" s="19">
        <v>200</v>
      </c>
      <c r="F85" s="20">
        <v>2002.078</v>
      </c>
      <c r="G85" s="21">
        <v>2.8E-3</v>
      </c>
      <c r="H85" s="22">
        <v>6.9800000000000001E-2</v>
      </c>
      <c r="I85" s="23"/>
    </row>
    <row r="86" spans="1:9" ht="12.9" customHeight="1">
      <c r="A86" s="17" t="s">
        <v>2882</v>
      </c>
      <c r="B86" s="18" t="s">
        <v>2883</v>
      </c>
      <c r="C86" s="14" t="s">
        <v>2884</v>
      </c>
      <c r="D86" s="14" t="s">
        <v>109</v>
      </c>
      <c r="E86" s="19">
        <v>2000</v>
      </c>
      <c r="F86" s="20">
        <v>2001.39</v>
      </c>
      <c r="G86" s="21">
        <v>2.8E-3</v>
      </c>
      <c r="H86" s="22">
        <v>7.3852000000000001E-2</v>
      </c>
      <c r="I86" s="23"/>
    </row>
    <row r="87" spans="1:9" ht="12.9" customHeight="1">
      <c r="A87" s="17" t="s">
        <v>2681</v>
      </c>
      <c r="B87" s="18" t="s">
        <v>2682</v>
      </c>
      <c r="C87" s="14" t="s">
        <v>2683</v>
      </c>
      <c r="D87" s="14" t="s">
        <v>895</v>
      </c>
      <c r="E87" s="19">
        <v>1500</v>
      </c>
      <c r="F87" s="20">
        <v>1510.4894999999999</v>
      </c>
      <c r="G87" s="21">
        <v>2.0999999999999999E-3</v>
      </c>
      <c r="H87" s="22">
        <v>7.6399999999999996E-2</v>
      </c>
      <c r="I87" s="23"/>
    </row>
    <row r="88" spans="1:9" ht="12.9" customHeight="1">
      <c r="A88" s="17" t="s">
        <v>1767</v>
      </c>
      <c r="B88" s="18" t="s">
        <v>1768</v>
      </c>
      <c r="C88" s="14" t="s">
        <v>1769</v>
      </c>
      <c r="D88" s="14" t="s">
        <v>84</v>
      </c>
      <c r="E88" s="19">
        <v>1500000</v>
      </c>
      <c r="F88" s="20">
        <v>1500.7755</v>
      </c>
      <c r="G88" s="21">
        <v>2.0999999999999999E-3</v>
      </c>
      <c r="H88" s="22">
        <v>5.4719999999999998E-2</v>
      </c>
      <c r="I88" s="23"/>
    </row>
    <row r="89" spans="1:9" ht="12.9" customHeight="1">
      <c r="A89" s="17" t="s">
        <v>2708</v>
      </c>
      <c r="B89" s="18" t="s">
        <v>2709</v>
      </c>
      <c r="C89" s="14" t="s">
        <v>2710</v>
      </c>
      <c r="D89" s="14" t="s">
        <v>109</v>
      </c>
      <c r="E89" s="19">
        <v>150</v>
      </c>
      <c r="F89" s="20">
        <v>1492.4265</v>
      </c>
      <c r="G89" s="21">
        <v>2.0999999999999999E-3</v>
      </c>
      <c r="H89" s="22">
        <v>6.7250000000000004E-2</v>
      </c>
      <c r="I89" s="23"/>
    </row>
    <row r="90" spans="1:9" ht="12.9" customHeight="1">
      <c r="A90" s="17" t="s">
        <v>2117</v>
      </c>
      <c r="B90" s="18" t="s">
        <v>2118</v>
      </c>
      <c r="C90" s="14" t="s">
        <v>2119</v>
      </c>
      <c r="D90" s="14" t="s">
        <v>84</v>
      </c>
      <c r="E90" s="19">
        <v>1050000</v>
      </c>
      <c r="F90" s="20">
        <v>1051.5130999999999</v>
      </c>
      <c r="G90" s="21">
        <v>1.4E-3</v>
      </c>
      <c r="H90" s="22">
        <v>5.5162999999999997E-2</v>
      </c>
      <c r="I90" s="23"/>
    </row>
    <row r="91" spans="1:9" ht="12.9" customHeight="1">
      <c r="A91" s="17" t="s">
        <v>2642</v>
      </c>
      <c r="B91" s="18" t="s">
        <v>2643</v>
      </c>
      <c r="C91" s="14" t="s">
        <v>2644</v>
      </c>
      <c r="D91" s="14" t="s">
        <v>895</v>
      </c>
      <c r="E91" s="19">
        <v>1000</v>
      </c>
      <c r="F91" s="20">
        <v>1016.3150000000001</v>
      </c>
      <c r="G91" s="21">
        <v>1.4E-3</v>
      </c>
      <c r="H91" s="22">
        <v>7.5975000000000001E-2</v>
      </c>
      <c r="I91" s="23"/>
    </row>
    <row r="92" spans="1:9" ht="12.9" customHeight="1">
      <c r="A92" s="17" t="s">
        <v>2579</v>
      </c>
      <c r="B92" s="18" t="s">
        <v>2580</v>
      </c>
      <c r="C92" s="14" t="s">
        <v>2581</v>
      </c>
      <c r="D92" s="14" t="s">
        <v>109</v>
      </c>
      <c r="E92" s="19">
        <v>1000</v>
      </c>
      <c r="F92" s="20">
        <v>998.68100000000004</v>
      </c>
      <c r="G92" s="21">
        <v>1.4E-3</v>
      </c>
      <c r="H92" s="22">
        <v>7.4075000000000002E-2</v>
      </c>
      <c r="I92" s="23"/>
    </row>
    <row r="93" spans="1:9" ht="12.9" customHeight="1">
      <c r="A93" s="17" t="s">
        <v>2885</v>
      </c>
      <c r="B93" s="18" t="s">
        <v>2886</v>
      </c>
      <c r="C93" s="14" t="s">
        <v>2887</v>
      </c>
      <c r="D93" s="14" t="s">
        <v>109</v>
      </c>
      <c r="E93" s="19">
        <v>500</v>
      </c>
      <c r="F93" s="20">
        <v>501.83800000000002</v>
      </c>
      <c r="G93" s="21">
        <v>6.9999999999999999E-4</v>
      </c>
      <c r="H93" s="22">
        <v>6.7699999999999996E-2</v>
      </c>
      <c r="I93" s="23"/>
    </row>
    <row r="94" spans="1:9" ht="12.9" customHeight="1">
      <c r="A94" s="17" t="s">
        <v>2888</v>
      </c>
      <c r="B94" s="18" t="s">
        <v>2889</v>
      </c>
      <c r="C94" s="14" t="s">
        <v>2890</v>
      </c>
      <c r="D94" s="14" t="s">
        <v>109</v>
      </c>
      <c r="E94" s="19">
        <v>500</v>
      </c>
      <c r="F94" s="20">
        <v>501.23399999999998</v>
      </c>
      <c r="G94" s="21">
        <v>6.9999999999999999E-4</v>
      </c>
      <c r="H94" s="22">
        <v>6.9448999999999997E-2</v>
      </c>
      <c r="I94" s="23"/>
    </row>
    <row r="95" spans="1:9" ht="12.9" customHeight="1">
      <c r="A95" s="17" t="s">
        <v>1744</v>
      </c>
      <c r="B95" s="18" t="s">
        <v>1745</v>
      </c>
      <c r="C95" s="14" t="s">
        <v>1746</v>
      </c>
      <c r="D95" s="14" t="s">
        <v>994</v>
      </c>
      <c r="E95" s="19">
        <v>500</v>
      </c>
      <c r="F95" s="20">
        <v>500.52749999999997</v>
      </c>
      <c r="G95" s="21">
        <v>6.9999999999999999E-4</v>
      </c>
      <c r="H95" s="22">
        <v>6.6448999999999994E-2</v>
      </c>
      <c r="I95" s="23"/>
    </row>
    <row r="96" spans="1:9" ht="12.9" customHeight="1">
      <c r="A96" s="17" t="s">
        <v>2891</v>
      </c>
      <c r="B96" s="18" t="s">
        <v>2892</v>
      </c>
      <c r="C96" s="14" t="s">
        <v>2893</v>
      </c>
      <c r="D96" s="14" t="s">
        <v>84</v>
      </c>
      <c r="E96" s="19">
        <v>476000</v>
      </c>
      <c r="F96" s="20">
        <v>480.55720000000002</v>
      </c>
      <c r="G96" s="21">
        <v>6.9999999999999999E-4</v>
      </c>
      <c r="H96" s="22">
        <v>5.9028999999999998E-2</v>
      </c>
      <c r="I96" s="23"/>
    </row>
    <row r="97" spans="1:9" ht="12.9" customHeight="1">
      <c r="A97" s="17" t="s">
        <v>2894</v>
      </c>
      <c r="B97" s="18" t="s">
        <v>2895</v>
      </c>
      <c r="C97" s="14" t="s">
        <v>2896</v>
      </c>
      <c r="D97" s="14" t="s">
        <v>84</v>
      </c>
      <c r="E97" s="19">
        <v>476000</v>
      </c>
      <c r="F97" s="20">
        <v>480.46629999999999</v>
      </c>
      <c r="G97" s="21">
        <v>6.9999999999999999E-4</v>
      </c>
      <c r="H97" s="22">
        <v>5.9144000000000002E-2</v>
      </c>
      <c r="I97" s="23"/>
    </row>
    <row r="98" spans="1:9" ht="12.9" customHeight="1">
      <c r="A98" s="17" t="s">
        <v>2897</v>
      </c>
      <c r="B98" s="18" t="s">
        <v>2898</v>
      </c>
      <c r="C98" s="14" t="s">
        <v>2899</v>
      </c>
      <c r="D98" s="14" t="s">
        <v>84</v>
      </c>
      <c r="E98" s="19">
        <v>440000</v>
      </c>
      <c r="F98" s="20">
        <v>442.53179999999998</v>
      </c>
      <c r="G98" s="21">
        <v>5.9999999999999995E-4</v>
      </c>
      <c r="H98" s="22">
        <v>5.8055000000000002E-2</v>
      </c>
      <c r="I98" s="23"/>
    </row>
    <row r="99" spans="1:9" ht="12.9" customHeight="1">
      <c r="A99" s="17" t="s">
        <v>2900</v>
      </c>
      <c r="B99" s="18" t="s">
        <v>2901</v>
      </c>
      <c r="C99" s="14" t="s">
        <v>2902</v>
      </c>
      <c r="D99" s="14" t="s">
        <v>84</v>
      </c>
      <c r="E99" s="19">
        <v>323000</v>
      </c>
      <c r="F99" s="20">
        <v>323.6515</v>
      </c>
      <c r="G99" s="21">
        <v>4.0000000000000002E-4</v>
      </c>
      <c r="H99" s="22">
        <v>5.6100999999999998E-2</v>
      </c>
      <c r="I99" s="23"/>
    </row>
    <row r="100" spans="1:9" ht="12.9" customHeight="1">
      <c r="A100" s="17" t="s">
        <v>679</v>
      </c>
      <c r="B100" s="18" t="s">
        <v>680</v>
      </c>
      <c r="C100" s="14" t="s">
        <v>681</v>
      </c>
      <c r="D100" s="14" t="s">
        <v>109</v>
      </c>
      <c r="E100" s="19">
        <v>250</v>
      </c>
      <c r="F100" s="20">
        <v>253.274</v>
      </c>
      <c r="G100" s="21">
        <v>2.9999999999999997E-4</v>
      </c>
      <c r="H100" s="22">
        <v>6.9750000000000006E-2</v>
      </c>
      <c r="I100" s="23"/>
    </row>
    <row r="101" spans="1:9" ht="12.9" customHeight="1">
      <c r="A101" s="17" t="s">
        <v>2903</v>
      </c>
      <c r="B101" s="18" t="s">
        <v>2904</v>
      </c>
      <c r="C101" s="14" t="s">
        <v>2905</v>
      </c>
      <c r="D101" s="14" t="s">
        <v>84</v>
      </c>
      <c r="E101" s="19">
        <v>200000</v>
      </c>
      <c r="F101" s="20">
        <v>200.68520000000001</v>
      </c>
      <c r="G101" s="21">
        <v>2.9999999999999997E-4</v>
      </c>
      <c r="H101" s="22">
        <v>5.6869000000000003E-2</v>
      </c>
      <c r="I101" s="23"/>
    </row>
    <row r="102" spans="1:9" ht="12.9" customHeight="1">
      <c r="A102" s="17" t="s">
        <v>2906</v>
      </c>
      <c r="B102" s="18" t="s">
        <v>2907</v>
      </c>
      <c r="C102" s="14" t="s">
        <v>2908</v>
      </c>
      <c r="D102" s="14" t="s">
        <v>84</v>
      </c>
      <c r="E102" s="19">
        <v>70000</v>
      </c>
      <c r="F102" s="20">
        <v>70.278199999999998</v>
      </c>
      <c r="G102" s="21">
        <v>1E-4</v>
      </c>
      <c r="H102" s="22">
        <v>5.5152E-2</v>
      </c>
      <c r="I102" s="23"/>
    </row>
    <row r="103" spans="1:9" ht="12.9" customHeight="1">
      <c r="A103" s="17" t="s">
        <v>1431</v>
      </c>
      <c r="B103" s="18" t="s">
        <v>1432</v>
      </c>
      <c r="C103" s="14" t="s">
        <v>1433</v>
      </c>
      <c r="D103" s="14" t="s">
        <v>895</v>
      </c>
      <c r="E103" s="19">
        <v>50</v>
      </c>
      <c r="F103" s="20">
        <v>50.446300000000001</v>
      </c>
      <c r="G103" s="21">
        <v>1E-4</v>
      </c>
      <c r="H103" s="22">
        <v>7.4399000000000007E-2</v>
      </c>
      <c r="I103" s="23"/>
    </row>
    <row r="104" spans="1:9" ht="12.9" customHeight="1">
      <c r="A104" s="5"/>
      <c r="B104" s="13" t="s">
        <v>88</v>
      </c>
      <c r="C104" s="14"/>
      <c r="D104" s="14"/>
      <c r="E104" s="14"/>
      <c r="F104" s="24">
        <v>440051.33260000002</v>
      </c>
      <c r="G104" s="25">
        <v>0.60550000000000004</v>
      </c>
      <c r="H104" s="26"/>
      <c r="I104" s="27"/>
    </row>
    <row r="105" spans="1:9" ht="12.9" customHeight="1">
      <c r="A105" s="5"/>
      <c r="B105" s="28" t="s">
        <v>89</v>
      </c>
      <c r="C105" s="2"/>
      <c r="D105" s="2"/>
      <c r="E105" s="2"/>
      <c r="F105" s="26" t="s">
        <v>90</v>
      </c>
      <c r="G105" s="26" t="s">
        <v>90</v>
      </c>
      <c r="H105" s="26"/>
      <c r="I105" s="27"/>
    </row>
    <row r="106" spans="1:9" ht="12.9" customHeight="1">
      <c r="A106" s="5"/>
      <c r="B106" s="28" t="s">
        <v>88</v>
      </c>
      <c r="C106" s="2"/>
      <c r="D106" s="2"/>
      <c r="E106" s="2"/>
      <c r="F106" s="26" t="s">
        <v>90</v>
      </c>
      <c r="G106" s="26" t="s">
        <v>90</v>
      </c>
      <c r="H106" s="26"/>
      <c r="I106" s="27"/>
    </row>
    <row r="107" spans="1:9" ht="12.9" customHeight="1">
      <c r="A107" s="5"/>
      <c r="B107" s="28" t="s">
        <v>80</v>
      </c>
      <c r="C107" s="2"/>
      <c r="D107" s="2"/>
      <c r="E107" s="2"/>
      <c r="F107" s="26" t="s">
        <v>90</v>
      </c>
      <c r="G107" s="26" t="s">
        <v>90</v>
      </c>
      <c r="H107" s="43"/>
      <c r="I107" s="42"/>
    </row>
    <row r="108" spans="1:9" ht="12.9" customHeight="1">
      <c r="A108" s="5"/>
      <c r="B108" s="44" t="s">
        <v>88</v>
      </c>
      <c r="C108" s="45"/>
      <c r="D108" s="45"/>
      <c r="E108" s="45"/>
      <c r="F108" s="26" t="s">
        <v>90</v>
      </c>
      <c r="G108" s="26" t="s">
        <v>90</v>
      </c>
      <c r="H108" s="43"/>
      <c r="I108" s="42"/>
    </row>
    <row r="109" spans="1:9" ht="12.9" customHeight="1">
      <c r="A109" s="5"/>
      <c r="B109" s="13" t="s">
        <v>89</v>
      </c>
      <c r="C109" s="14"/>
      <c r="D109" s="14"/>
      <c r="E109" s="14"/>
      <c r="F109" s="5"/>
      <c r="G109" s="15"/>
      <c r="H109" s="15"/>
      <c r="I109" s="16"/>
    </row>
    <row r="110" spans="1:9" ht="12.9" customHeight="1">
      <c r="A110" s="17" t="s">
        <v>2909</v>
      </c>
      <c r="B110" s="18" t="s">
        <v>2910</v>
      </c>
      <c r="C110" s="14" t="s">
        <v>2911</v>
      </c>
      <c r="D110" s="14" t="s">
        <v>353</v>
      </c>
      <c r="E110" s="19">
        <v>750</v>
      </c>
      <c r="F110" s="20">
        <v>7526.2049999999999</v>
      </c>
      <c r="G110" s="21">
        <v>1.04E-2</v>
      </c>
      <c r="H110" s="22">
        <v>7.1093000000000003E-2</v>
      </c>
      <c r="I110" s="23"/>
    </row>
    <row r="111" spans="1:9" ht="12.9" customHeight="1">
      <c r="A111" s="17" t="s">
        <v>2786</v>
      </c>
      <c r="B111" s="18" t="s">
        <v>2787</v>
      </c>
      <c r="C111" s="14" t="s">
        <v>2788</v>
      </c>
      <c r="D111" s="14" t="s">
        <v>353</v>
      </c>
      <c r="E111" s="19">
        <v>250</v>
      </c>
      <c r="F111" s="20">
        <v>2522.9924999999998</v>
      </c>
      <c r="G111" s="21">
        <v>3.5000000000000001E-3</v>
      </c>
      <c r="H111" s="22">
        <v>7.5195999999999999E-2</v>
      </c>
      <c r="I111" s="23"/>
    </row>
    <row r="112" spans="1:9" ht="12.9" customHeight="1">
      <c r="A112" s="5"/>
      <c r="B112" s="13" t="s">
        <v>88</v>
      </c>
      <c r="C112" s="14"/>
      <c r="D112" s="14"/>
      <c r="E112" s="14"/>
      <c r="F112" s="24">
        <v>10049.1975</v>
      </c>
      <c r="G112" s="25">
        <v>1.38E-2</v>
      </c>
      <c r="H112" s="26"/>
      <c r="I112" s="27"/>
    </row>
    <row r="113" spans="1:9" ht="12.9" customHeight="1">
      <c r="A113" s="5"/>
      <c r="B113" s="13" t="s">
        <v>751</v>
      </c>
      <c r="C113" s="14"/>
      <c r="D113" s="14"/>
      <c r="E113" s="14"/>
      <c r="F113" s="5"/>
      <c r="G113" s="15"/>
      <c r="H113" s="15"/>
      <c r="I113" s="16"/>
    </row>
    <row r="114" spans="1:9" ht="12.9" customHeight="1">
      <c r="A114" s="17" t="s">
        <v>2912</v>
      </c>
      <c r="B114" s="18" t="s">
        <v>2913</v>
      </c>
      <c r="C114" s="14" t="s">
        <v>2914</v>
      </c>
      <c r="D114" s="14" t="s">
        <v>755</v>
      </c>
      <c r="E114" s="19">
        <v>100</v>
      </c>
      <c r="F114" s="20">
        <v>7894.0187999999998</v>
      </c>
      <c r="G114" s="21">
        <v>1.09E-2</v>
      </c>
      <c r="H114" s="22">
        <v>9.2850000000000002E-2</v>
      </c>
      <c r="I114" s="23"/>
    </row>
    <row r="115" spans="1:9" ht="12.9" customHeight="1">
      <c r="A115" s="17" t="s">
        <v>2789</v>
      </c>
      <c r="B115" s="18" t="s">
        <v>2790</v>
      </c>
      <c r="C115" s="14" t="s">
        <v>2791</v>
      </c>
      <c r="D115" s="14" t="s">
        <v>755</v>
      </c>
      <c r="E115" s="19">
        <v>500000000</v>
      </c>
      <c r="F115" s="20">
        <v>5004.5</v>
      </c>
      <c r="G115" s="21">
        <v>6.8999999999999999E-3</v>
      </c>
      <c r="H115" s="22">
        <v>8.7999999999999995E-2</v>
      </c>
      <c r="I115" s="23"/>
    </row>
    <row r="116" spans="1:9" ht="12.9" customHeight="1">
      <c r="A116" s="17" t="s">
        <v>752</v>
      </c>
      <c r="B116" s="18" t="s">
        <v>753</v>
      </c>
      <c r="C116" s="14" t="s">
        <v>754</v>
      </c>
      <c r="D116" s="14" t="s">
        <v>755</v>
      </c>
      <c r="E116" s="19">
        <v>47</v>
      </c>
      <c r="F116" s="20">
        <v>4751.0307000000003</v>
      </c>
      <c r="G116" s="21">
        <v>6.4999999999999997E-3</v>
      </c>
      <c r="H116" s="22">
        <v>7.3596999999999996E-2</v>
      </c>
      <c r="I116" s="23"/>
    </row>
    <row r="117" spans="1:9" ht="12.9" customHeight="1">
      <c r="A117" s="17" t="s">
        <v>756</v>
      </c>
      <c r="B117" s="18" t="s">
        <v>757</v>
      </c>
      <c r="C117" s="14" t="s">
        <v>758</v>
      </c>
      <c r="D117" s="14" t="s">
        <v>755</v>
      </c>
      <c r="E117" s="19">
        <v>47</v>
      </c>
      <c r="F117" s="20">
        <v>4749.8216000000002</v>
      </c>
      <c r="G117" s="21">
        <v>6.4999999999999997E-3</v>
      </c>
      <c r="H117" s="22">
        <v>7.4996999999999994E-2</v>
      </c>
      <c r="I117" s="23"/>
    </row>
    <row r="118" spans="1:9" ht="12.9" customHeight="1">
      <c r="A118" s="17" t="s">
        <v>2792</v>
      </c>
      <c r="B118" s="18" t="s">
        <v>2793</v>
      </c>
      <c r="C118" s="14" t="s">
        <v>2794</v>
      </c>
      <c r="D118" s="14" t="s">
        <v>755</v>
      </c>
      <c r="E118" s="19">
        <v>1000000000</v>
      </c>
      <c r="F118" s="20">
        <v>4203</v>
      </c>
      <c r="G118" s="21">
        <v>5.7999999999999996E-3</v>
      </c>
      <c r="H118" s="22">
        <v>8.6400000000000005E-2</v>
      </c>
      <c r="I118" s="23"/>
    </row>
    <row r="119" spans="1:9" ht="12.9" customHeight="1">
      <c r="A119" s="17" t="s">
        <v>1207</v>
      </c>
      <c r="B119" s="18" t="s">
        <v>1208</v>
      </c>
      <c r="C119" s="14" t="s">
        <v>1209</v>
      </c>
      <c r="D119" s="14" t="s">
        <v>1203</v>
      </c>
      <c r="E119" s="19">
        <v>50</v>
      </c>
      <c r="F119" s="20">
        <v>4177.8055999999997</v>
      </c>
      <c r="G119" s="21">
        <v>5.7000000000000002E-3</v>
      </c>
      <c r="H119" s="22">
        <v>7.6749999999999999E-2</v>
      </c>
      <c r="I119" s="23"/>
    </row>
    <row r="120" spans="1:9" ht="12.9" customHeight="1">
      <c r="A120" s="17" t="s">
        <v>759</v>
      </c>
      <c r="B120" s="18" t="s">
        <v>760</v>
      </c>
      <c r="C120" s="14" t="s">
        <v>761</v>
      </c>
      <c r="D120" s="14" t="s">
        <v>755</v>
      </c>
      <c r="E120" s="19">
        <v>31</v>
      </c>
      <c r="F120" s="20">
        <v>3123.5699</v>
      </c>
      <c r="G120" s="21">
        <v>4.3E-3</v>
      </c>
      <c r="H120" s="22">
        <v>7.3246000000000006E-2</v>
      </c>
      <c r="I120" s="23"/>
    </row>
    <row r="121" spans="1:9" ht="12.9" customHeight="1">
      <c r="A121" s="17" t="s">
        <v>2798</v>
      </c>
      <c r="B121" s="18" t="s">
        <v>2799</v>
      </c>
      <c r="C121" s="14" t="s">
        <v>2800</v>
      </c>
      <c r="D121" s="14" t="s">
        <v>1203</v>
      </c>
      <c r="E121" s="19">
        <v>100</v>
      </c>
      <c r="F121" s="20">
        <v>3029.2062000000001</v>
      </c>
      <c r="G121" s="21">
        <v>4.1999999999999997E-3</v>
      </c>
      <c r="H121" s="22">
        <v>7.3800000000000004E-2</v>
      </c>
      <c r="I121" s="23"/>
    </row>
    <row r="122" spans="1:9" ht="12.9" customHeight="1">
      <c r="A122" s="17" t="s">
        <v>1210</v>
      </c>
      <c r="B122" s="18" t="s">
        <v>1211</v>
      </c>
      <c r="C122" s="14" t="s">
        <v>1212</v>
      </c>
      <c r="D122" s="14" t="s">
        <v>755</v>
      </c>
      <c r="E122" s="19">
        <v>37</v>
      </c>
      <c r="F122" s="20">
        <v>2831.8528000000001</v>
      </c>
      <c r="G122" s="21">
        <v>3.8999999999999998E-3</v>
      </c>
      <c r="H122" s="22">
        <v>7.7950000000000005E-2</v>
      </c>
      <c r="I122" s="23"/>
    </row>
    <row r="123" spans="1:9" ht="12.9" customHeight="1">
      <c r="A123" s="17" t="s">
        <v>2795</v>
      </c>
      <c r="B123" s="18" t="s">
        <v>2796</v>
      </c>
      <c r="C123" s="14" t="s">
        <v>2797</v>
      </c>
      <c r="D123" s="14" t="s">
        <v>755</v>
      </c>
      <c r="E123" s="19">
        <v>476900778</v>
      </c>
      <c r="F123" s="20">
        <v>1660.5685000000001</v>
      </c>
      <c r="G123" s="21">
        <v>2.3E-3</v>
      </c>
      <c r="H123" s="22">
        <v>8.6249999999999993E-2</v>
      </c>
      <c r="I123" s="23"/>
    </row>
    <row r="124" spans="1:9" ht="12.9" customHeight="1">
      <c r="A124" s="17" t="s">
        <v>2915</v>
      </c>
      <c r="B124" s="18" t="s">
        <v>2916</v>
      </c>
      <c r="C124" s="14" t="s">
        <v>2917</v>
      </c>
      <c r="D124" s="14" t="s">
        <v>755</v>
      </c>
      <c r="E124" s="19">
        <v>33</v>
      </c>
      <c r="F124" s="20">
        <v>1340.0011</v>
      </c>
      <c r="G124" s="21">
        <v>1.8E-3</v>
      </c>
      <c r="H124" s="22">
        <v>7.4099999999999999E-2</v>
      </c>
      <c r="I124" s="23"/>
    </row>
    <row r="125" spans="1:9" ht="12.9" customHeight="1">
      <c r="A125" s="5"/>
      <c r="B125" s="13" t="s">
        <v>88</v>
      </c>
      <c r="C125" s="14"/>
      <c r="D125" s="14"/>
      <c r="E125" s="14"/>
      <c r="F125" s="24">
        <v>42765.3753</v>
      </c>
      <c r="G125" s="25">
        <v>5.8799999999999998E-2</v>
      </c>
      <c r="H125" s="26"/>
      <c r="I125" s="27"/>
    </row>
    <row r="126" spans="1:9" ht="12.9" customHeight="1">
      <c r="A126" s="5"/>
      <c r="B126" s="28" t="s">
        <v>91</v>
      </c>
      <c r="C126" s="29"/>
      <c r="D126" s="2"/>
      <c r="E126" s="29"/>
      <c r="F126" s="24">
        <v>492865.90529999998</v>
      </c>
      <c r="G126" s="25">
        <v>0.67820000000000003</v>
      </c>
      <c r="H126" s="26"/>
      <c r="I126" s="27"/>
    </row>
    <row r="127" spans="1:9" ht="12.9" customHeight="1">
      <c r="A127" s="5"/>
      <c r="B127" s="13" t="s">
        <v>311</v>
      </c>
      <c r="C127" s="14"/>
      <c r="D127" s="14"/>
      <c r="E127" s="14"/>
      <c r="F127" s="14"/>
      <c r="G127" s="14"/>
      <c r="H127" s="15"/>
      <c r="I127" s="16"/>
    </row>
    <row r="128" spans="1:9" ht="12.9" customHeight="1">
      <c r="A128" s="5"/>
      <c r="B128" s="13" t="s">
        <v>762</v>
      </c>
      <c r="C128" s="14"/>
      <c r="D128" s="14"/>
      <c r="E128" s="14"/>
      <c r="F128" s="5"/>
      <c r="G128" s="15"/>
      <c r="H128" s="15"/>
      <c r="I128" s="16"/>
    </row>
    <row r="129" spans="1:9" ht="12.9" customHeight="1">
      <c r="A129" s="17" t="s">
        <v>1584</v>
      </c>
      <c r="B129" s="18" t="s">
        <v>1585</v>
      </c>
      <c r="C129" s="14" t="s">
        <v>1586</v>
      </c>
      <c r="D129" s="14" t="s">
        <v>1583</v>
      </c>
      <c r="E129" s="19">
        <v>4000</v>
      </c>
      <c r="F129" s="20">
        <v>19471.759999999998</v>
      </c>
      <c r="G129" s="21">
        <v>2.6800000000000001E-2</v>
      </c>
      <c r="H129" s="22">
        <v>6.4298999999999995E-2</v>
      </c>
      <c r="I129" s="23"/>
    </row>
    <row r="130" spans="1:9" ht="12.9" customHeight="1">
      <c r="A130" s="17" t="s">
        <v>2918</v>
      </c>
      <c r="B130" s="18" t="s">
        <v>2919</v>
      </c>
      <c r="C130" s="14" t="s">
        <v>2920</v>
      </c>
      <c r="D130" s="14" t="s">
        <v>766</v>
      </c>
      <c r="E130" s="19">
        <v>3500</v>
      </c>
      <c r="F130" s="20">
        <v>17376.2225</v>
      </c>
      <c r="G130" s="21">
        <v>2.3900000000000001E-2</v>
      </c>
      <c r="H130" s="22">
        <v>6.1904000000000001E-2</v>
      </c>
      <c r="I130" s="23"/>
    </row>
    <row r="131" spans="1:9" ht="12.9" customHeight="1">
      <c r="A131" s="17" t="s">
        <v>2219</v>
      </c>
      <c r="B131" s="18" t="s">
        <v>2220</v>
      </c>
      <c r="C131" s="14" t="s">
        <v>2221</v>
      </c>
      <c r="D131" s="14" t="s">
        <v>766</v>
      </c>
      <c r="E131" s="19">
        <v>3000</v>
      </c>
      <c r="F131" s="20">
        <v>14786.775</v>
      </c>
      <c r="G131" s="21">
        <v>2.0299999999999999E-2</v>
      </c>
      <c r="H131" s="22">
        <v>6.0499999999999998E-2</v>
      </c>
      <c r="I131" s="23"/>
    </row>
    <row r="132" spans="1:9" ht="12.9" customHeight="1">
      <c r="A132" s="17" t="s">
        <v>2213</v>
      </c>
      <c r="B132" s="18" t="s">
        <v>2214</v>
      </c>
      <c r="C132" s="14" t="s">
        <v>2215</v>
      </c>
      <c r="D132" s="14" t="s">
        <v>1583</v>
      </c>
      <c r="E132" s="19">
        <v>3000</v>
      </c>
      <c r="F132" s="20">
        <v>14301.21</v>
      </c>
      <c r="G132" s="21">
        <v>1.9699999999999999E-2</v>
      </c>
      <c r="H132" s="22">
        <v>6.6299999999999998E-2</v>
      </c>
      <c r="I132" s="23"/>
    </row>
    <row r="133" spans="1:9" ht="12.9" customHeight="1">
      <c r="A133" s="17" t="s">
        <v>2921</v>
      </c>
      <c r="B133" s="18" t="s">
        <v>2922</v>
      </c>
      <c r="C133" s="14" t="s">
        <v>2923</v>
      </c>
      <c r="D133" s="14" t="s">
        <v>766</v>
      </c>
      <c r="E133" s="19">
        <v>2500</v>
      </c>
      <c r="F133" s="20">
        <v>12357.275</v>
      </c>
      <c r="G133" s="21">
        <v>1.7000000000000001E-2</v>
      </c>
      <c r="H133" s="22">
        <v>6.1100000000000002E-2</v>
      </c>
      <c r="I133" s="23"/>
    </row>
    <row r="134" spans="1:9" ht="12.9" customHeight="1">
      <c r="A134" s="17" t="s">
        <v>1593</v>
      </c>
      <c r="B134" s="18" t="s">
        <v>1594</v>
      </c>
      <c r="C134" s="14" t="s">
        <v>1595</v>
      </c>
      <c r="D134" s="14" t="s">
        <v>770</v>
      </c>
      <c r="E134" s="19">
        <v>2000</v>
      </c>
      <c r="F134" s="20">
        <v>9916.19</v>
      </c>
      <c r="G134" s="21">
        <v>1.3599999999999999E-2</v>
      </c>
      <c r="H134" s="22">
        <v>6.1698000000000003E-2</v>
      </c>
      <c r="I134" s="23"/>
    </row>
    <row r="135" spans="1:9" ht="12.9" customHeight="1">
      <c r="A135" s="17" t="s">
        <v>1860</v>
      </c>
      <c r="B135" s="18" t="s">
        <v>1861</v>
      </c>
      <c r="C135" s="14" t="s">
        <v>1862</v>
      </c>
      <c r="D135" s="14" t="s">
        <v>770</v>
      </c>
      <c r="E135" s="19">
        <v>2000</v>
      </c>
      <c r="F135" s="20">
        <v>9912.81</v>
      </c>
      <c r="G135" s="21">
        <v>1.3599999999999999E-2</v>
      </c>
      <c r="H135" s="22">
        <v>6.2950000000000006E-2</v>
      </c>
      <c r="I135" s="23"/>
    </row>
    <row r="136" spans="1:9" ht="12.9" customHeight="1">
      <c r="A136" s="17" t="s">
        <v>2924</v>
      </c>
      <c r="B136" s="18" t="s">
        <v>2925</v>
      </c>
      <c r="C136" s="14" t="s">
        <v>2926</v>
      </c>
      <c r="D136" s="14" t="s">
        <v>770</v>
      </c>
      <c r="E136" s="19">
        <v>2000</v>
      </c>
      <c r="F136" s="20">
        <v>9880.83</v>
      </c>
      <c r="G136" s="21">
        <v>1.3599999999999999E-2</v>
      </c>
      <c r="H136" s="22">
        <v>6.2002000000000002E-2</v>
      </c>
      <c r="I136" s="23"/>
    </row>
    <row r="137" spans="1:9" ht="12.9" customHeight="1">
      <c r="A137" s="17" t="s">
        <v>2927</v>
      </c>
      <c r="B137" s="18" t="s">
        <v>2928</v>
      </c>
      <c r="C137" s="14" t="s">
        <v>2929</v>
      </c>
      <c r="D137" s="14" t="s">
        <v>770</v>
      </c>
      <c r="E137" s="19">
        <v>2000</v>
      </c>
      <c r="F137" s="20">
        <v>9856.32</v>
      </c>
      <c r="G137" s="21">
        <v>1.3599999999999999E-2</v>
      </c>
      <c r="H137" s="22">
        <v>6.2599000000000002E-2</v>
      </c>
      <c r="I137" s="23"/>
    </row>
    <row r="138" spans="1:9" ht="12.9" customHeight="1">
      <c r="A138" s="17" t="s">
        <v>2162</v>
      </c>
      <c r="B138" s="18" t="s">
        <v>2163</v>
      </c>
      <c r="C138" s="14" t="s">
        <v>2164</v>
      </c>
      <c r="D138" s="14" t="s">
        <v>766</v>
      </c>
      <c r="E138" s="19">
        <v>2000</v>
      </c>
      <c r="F138" s="20">
        <v>9743.93</v>
      </c>
      <c r="G138" s="21">
        <v>1.34E-2</v>
      </c>
      <c r="H138" s="22">
        <v>6.3949000000000006E-2</v>
      </c>
      <c r="I138" s="23"/>
    </row>
    <row r="139" spans="1:9" ht="12.9" customHeight="1">
      <c r="A139" s="17" t="s">
        <v>2240</v>
      </c>
      <c r="B139" s="18" t="s">
        <v>2241</v>
      </c>
      <c r="C139" s="14" t="s">
        <v>2242</v>
      </c>
      <c r="D139" s="14" t="s">
        <v>1583</v>
      </c>
      <c r="E139" s="19">
        <v>2000</v>
      </c>
      <c r="F139" s="20">
        <v>9389.75</v>
      </c>
      <c r="G139" s="21">
        <v>1.29E-2</v>
      </c>
      <c r="H139" s="22">
        <v>6.7199999999999996E-2</v>
      </c>
      <c r="I139" s="23"/>
    </row>
    <row r="140" spans="1:9" ht="12.9" customHeight="1">
      <c r="A140" s="17" t="s">
        <v>1902</v>
      </c>
      <c r="B140" s="18" t="s">
        <v>1903</v>
      </c>
      <c r="C140" s="14" t="s">
        <v>1904</v>
      </c>
      <c r="D140" s="14" t="s">
        <v>766</v>
      </c>
      <c r="E140" s="19">
        <v>1500</v>
      </c>
      <c r="F140" s="20">
        <v>7434.4350000000004</v>
      </c>
      <c r="G140" s="21">
        <v>1.0200000000000001E-2</v>
      </c>
      <c r="H140" s="22">
        <v>6.1903E-2</v>
      </c>
      <c r="I140" s="23"/>
    </row>
    <row r="141" spans="1:9" ht="12.9" customHeight="1">
      <c r="A141" s="17" t="s">
        <v>2273</v>
      </c>
      <c r="B141" s="18" t="s">
        <v>2274</v>
      </c>
      <c r="C141" s="14" t="s">
        <v>2275</v>
      </c>
      <c r="D141" s="14" t="s">
        <v>770</v>
      </c>
      <c r="E141" s="19">
        <v>1000</v>
      </c>
      <c r="F141" s="20">
        <v>4964.6099999999997</v>
      </c>
      <c r="G141" s="21">
        <v>6.7999999999999996E-3</v>
      </c>
      <c r="H141" s="22">
        <v>6.1949999999999998E-2</v>
      </c>
      <c r="I141" s="23"/>
    </row>
    <row r="142" spans="1:9" ht="12.9" customHeight="1">
      <c r="A142" s="17" t="s">
        <v>1580</v>
      </c>
      <c r="B142" s="18" t="s">
        <v>1581</v>
      </c>
      <c r="C142" s="14" t="s">
        <v>1582</v>
      </c>
      <c r="D142" s="14" t="s">
        <v>1583</v>
      </c>
      <c r="E142" s="19">
        <v>1000</v>
      </c>
      <c r="F142" s="20">
        <v>4854.45</v>
      </c>
      <c r="G142" s="21">
        <v>6.7000000000000002E-3</v>
      </c>
      <c r="H142" s="22">
        <v>6.4000000000000001E-2</v>
      </c>
      <c r="I142" s="23"/>
    </row>
    <row r="143" spans="1:9" ht="12.9" customHeight="1">
      <c r="A143" s="17" t="s">
        <v>2216</v>
      </c>
      <c r="B143" s="18" t="s">
        <v>2217</v>
      </c>
      <c r="C143" s="14" t="s">
        <v>2218</v>
      </c>
      <c r="D143" s="14" t="s">
        <v>1583</v>
      </c>
      <c r="E143" s="19">
        <v>1000</v>
      </c>
      <c r="F143" s="20">
        <v>4714.6099999999997</v>
      </c>
      <c r="G143" s="21">
        <v>6.4999999999999997E-3</v>
      </c>
      <c r="H143" s="22">
        <v>6.6549999999999998E-2</v>
      </c>
      <c r="I143" s="23"/>
    </row>
    <row r="144" spans="1:9" ht="12.9" customHeight="1">
      <c r="A144" s="17" t="s">
        <v>1605</v>
      </c>
      <c r="B144" s="18" t="s">
        <v>1606</v>
      </c>
      <c r="C144" s="14" t="s">
        <v>1607</v>
      </c>
      <c r="D144" s="14" t="s">
        <v>770</v>
      </c>
      <c r="E144" s="19">
        <v>700</v>
      </c>
      <c r="F144" s="20">
        <v>3450.65</v>
      </c>
      <c r="G144" s="21">
        <v>4.7000000000000002E-3</v>
      </c>
      <c r="H144" s="22">
        <v>6.0699000000000003E-2</v>
      </c>
      <c r="I144" s="23"/>
    </row>
    <row r="145" spans="1:9" ht="12.9" customHeight="1">
      <c r="A145" s="17" t="s">
        <v>1842</v>
      </c>
      <c r="B145" s="18" t="s">
        <v>1843</v>
      </c>
      <c r="C145" s="14" t="s">
        <v>1844</v>
      </c>
      <c r="D145" s="14" t="s">
        <v>766</v>
      </c>
      <c r="E145" s="19">
        <v>500</v>
      </c>
      <c r="F145" s="20">
        <v>2500</v>
      </c>
      <c r="G145" s="21">
        <v>3.3999999999999998E-3</v>
      </c>
      <c r="H145" s="22">
        <v>5.2567999999999997E-2</v>
      </c>
      <c r="I145" s="23"/>
    </row>
    <row r="146" spans="1:9" ht="12.9" customHeight="1">
      <c r="A146" s="17" t="s">
        <v>2930</v>
      </c>
      <c r="B146" s="18" t="s">
        <v>2931</v>
      </c>
      <c r="C146" s="14" t="s">
        <v>2932</v>
      </c>
      <c r="D146" s="14" t="s">
        <v>770</v>
      </c>
      <c r="E146" s="19">
        <v>500</v>
      </c>
      <c r="F146" s="20">
        <v>2479.0524999999998</v>
      </c>
      <c r="G146" s="21">
        <v>3.3999999999999998E-3</v>
      </c>
      <c r="H146" s="22">
        <v>6.2946000000000002E-2</v>
      </c>
      <c r="I146" s="23"/>
    </row>
    <row r="147" spans="1:9" ht="12.9" customHeight="1">
      <c r="A147" s="17" t="s">
        <v>2933</v>
      </c>
      <c r="B147" s="18" t="s">
        <v>2934</v>
      </c>
      <c r="C147" s="14" t="s">
        <v>2935</v>
      </c>
      <c r="D147" s="14" t="s">
        <v>1583</v>
      </c>
      <c r="E147" s="19">
        <v>500</v>
      </c>
      <c r="F147" s="20">
        <v>2478.1275000000001</v>
      </c>
      <c r="G147" s="21">
        <v>3.3999999999999998E-3</v>
      </c>
      <c r="H147" s="22">
        <v>6.1953000000000001E-2</v>
      </c>
      <c r="I147" s="23"/>
    </row>
    <row r="148" spans="1:9" ht="12.9" customHeight="1">
      <c r="A148" s="17" t="s">
        <v>2801</v>
      </c>
      <c r="B148" s="18" t="s">
        <v>2802</v>
      </c>
      <c r="C148" s="14" t="s">
        <v>2803</v>
      </c>
      <c r="D148" s="14" t="s">
        <v>770</v>
      </c>
      <c r="E148" s="19">
        <v>500</v>
      </c>
      <c r="F148" s="20">
        <v>2472.6149999999998</v>
      </c>
      <c r="G148" s="21">
        <v>3.3999999999999998E-3</v>
      </c>
      <c r="H148" s="22">
        <v>6.1249999999999999E-2</v>
      </c>
      <c r="I148" s="23"/>
    </row>
    <row r="149" spans="1:9" ht="12.9" customHeight="1">
      <c r="A149" s="17" t="s">
        <v>2180</v>
      </c>
      <c r="B149" s="18" t="s">
        <v>2181</v>
      </c>
      <c r="C149" s="14" t="s">
        <v>2182</v>
      </c>
      <c r="D149" s="14" t="s">
        <v>770</v>
      </c>
      <c r="E149" s="19">
        <v>500</v>
      </c>
      <c r="F149" s="20">
        <v>2459.8874999999998</v>
      </c>
      <c r="G149" s="21">
        <v>3.3999999999999998E-3</v>
      </c>
      <c r="H149" s="22">
        <v>6.0735999999999998E-2</v>
      </c>
      <c r="I149" s="23"/>
    </row>
    <row r="150" spans="1:9" ht="12.9" customHeight="1">
      <c r="A150" s="17" t="s">
        <v>2168</v>
      </c>
      <c r="B150" s="18" t="s">
        <v>2169</v>
      </c>
      <c r="C150" s="14" t="s">
        <v>2170</v>
      </c>
      <c r="D150" s="14" t="s">
        <v>766</v>
      </c>
      <c r="E150" s="19">
        <v>500</v>
      </c>
      <c r="F150" s="20">
        <v>2433.9025000000001</v>
      </c>
      <c r="G150" s="21">
        <v>3.3E-3</v>
      </c>
      <c r="H150" s="22">
        <v>6.3950000000000007E-2</v>
      </c>
      <c r="I150" s="23"/>
    </row>
    <row r="151" spans="1:9" ht="12.9" customHeight="1">
      <c r="A151" s="5"/>
      <c r="B151" s="13" t="s">
        <v>88</v>
      </c>
      <c r="C151" s="14"/>
      <c r="D151" s="14"/>
      <c r="E151" s="14"/>
      <c r="F151" s="24">
        <v>177235.41250000001</v>
      </c>
      <c r="G151" s="25">
        <v>0.24390000000000001</v>
      </c>
      <c r="H151" s="26"/>
      <c r="I151" s="27"/>
    </row>
    <row r="152" spans="1:9" ht="12.9" customHeight="1">
      <c r="A152" s="5"/>
      <c r="B152" s="13" t="s">
        <v>1481</v>
      </c>
      <c r="C152" s="14"/>
      <c r="D152" s="14"/>
      <c r="E152" s="14"/>
      <c r="F152" s="5"/>
      <c r="G152" s="15"/>
      <c r="H152" s="15"/>
      <c r="I152" s="16"/>
    </row>
    <row r="153" spans="1:9" ht="12.9" customHeight="1">
      <c r="A153" s="17" t="s">
        <v>2804</v>
      </c>
      <c r="B153" s="18" t="s">
        <v>2259</v>
      </c>
      <c r="C153" s="14" t="s">
        <v>2805</v>
      </c>
      <c r="D153" s="14" t="s">
        <v>770</v>
      </c>
      <c r="E153" s="19">
        <v>1000</v>
      </c>
      <c r="F153" s="20">
        <v>4934.1949999999997</v>
      </c>
      <c r="G153" s="21">
        <v>6.7999999999999996E-3</v>
      </c>
      <c r="H153" s="22">
        <v>6.0850000000000001E-2</v>
      </c>
      <c r="I153" s="23"/>
    </row>
    <row r="154" spans="1:9" ht="12.9" customHeight="1">
      <c r="A154" s="5"/>
      <c r="B154" s="13" t="s">
        <v>88</v>
      </c>
      <c r="C154" s="14"/>
      <c r="D154" s="14"/>
      <c r="E154" s="14"/>
      <c r="F154" s="24">
        <v>4934.1949999999997</v>
      </c>
      <c r="G154" s="25">
        <v>6.7999999999999996E-3</v>
      </c>
      <c r="H154" s="26"/>
      <c r="I154" s="27"/>
    </row>
    <row r="155" spans="1:9" ht="12.9" customHeight="1">
      <c r="A155" s="5"/>
      <c r="B155" s="13" t="s">
        <v>312</v>
      </c>
      <c r="C155" s="14"/>
      <c r="D155" s="14"/>
      <c r="E155" s="14"/>
      <c r="F155" s="5"/>
      <c r="G155" s="15"/>
      <c r="H155" s="15"/>
      <c r="I155" s="16"/>
    </row>
    <row r="156" spans="1:9" ht="12.9" customHeight="1">
      <c r="A156" s="17" t="s">
        <v>1567</v>
      </c>
      <c r="B156" s="18" t="s">
        <v>1568</v>
      </c>
      <c r="C156" s="14" t="s">
        <v>1569</v>
      </c>
      <c r="D156" s="14" t="s">
        <v>84</v>
      </c>
      <c r="E156" s="19">
        <v>25000000</v>
      </c>
      <c r="F156" s="20">
        <v>24507.15</v>
      </c>
      <c r="G156" s="21">
        <v>3.3700000000000001E-2</v>
      </c>
      <c r="H156" s="22">
        <v>5.4373999999999999E-2</v>
      </c>
      <c r="I156" s="23"/>
    </row>
    <row r="157" spans="1:9" ht="12.9" customHeight="1">
      <c r="A157" s="17" t="s">
        <v>2420</v>
      </c>
      <c r="B157" s="18" t="s">
        <v>2421</v>
      </c>
      <c r="C157" s="14" t="s">
        <v>2422</v>
      </c>
      <c r="D157" s="14" t="s">
        <v>84</v>
      </c>
      <c r="E157" s="19">
        <v>3500000</v>
      </c>
      <c r="F157" s="20">
        <v>3488.4605000000001</v>
      </c>
      <c r="G157" s="21">
        <v>4.7999999999999996E-3</v>
      </c>
      <c r="H157" s="22">
        <v>5.2499999999999998E-2</v>
      </c>
      <c r="I157" s="23"/>
    </row>
    <row r="158" spans="1:9" ht="12.9" customHeight="1">
      <c r="A158" s="5"/>
      <c r="B158" s="13" t="s">
        <v>88</v>
      </c>
      <c r="C158" s="14"/>
      <c r="D158" s="14"/>
      <c r="E158" s="14"/>
      <c r="F158" s="24">
        <v>27995.610499999999</v>
      </c>
      <c r="G158" s="25">
        <v>3.85E-2</v>
      </c>
      <c r="H158" s="26"/>
      <c r="I158" s="27"/>
    </row>
    <row r="159" spans="1:9" ht="12.9" customHeight="1">
      <c r="A159" s="5"/>
      <c r="B159" s="28" t="s">
        <v>91</v>
      </c>
      <c r="C159" s="29"/>
      <c r="D159" s="2"/>
      <c r="E159" s="29"/>
      <c r="F159" s="24">
        <v>210165.21799999999</v>
      </c>
      <c r="G159" s="25">
        <v>0.28920000000000001</v>
      </c>
      <c r="H159" s="26"/>
      <c r="I159" s="27"/>
    </row>
    <row r="160" spans="1:9" ht="12.9" customHeight="1">
      <c r="A160" s="5"/>
      <c r="B160" s="13" t="s">
        <v>285</v>
      </c>
      <c r="C160" s="14"/>
      <c r="D160" s="14"/>
      <c r="E160" s="14"/>
      <c r="F160" s="14"/>
      <c r="G160" s="14"/>
      <c r="H160" s="15"/>
      <c r="I160" s="16"/>
    </row>
    <row r="161" spans="1:9" ht="12.9" customHeight="1">
      <c r="A161" s="5"/>
      <c r="B161" s="13" t="s">
        <v>789</v>
      </c>
      <c r="C161" s="14"/>
      <c r="D161" s="14"/>
      <c r="E161" s="14"/>
      <c r="F161" s="5"/>
      <c r="G161" s="15"/>
      <c r="H161" s="15"/>
      <c r="I161" s="16"/>
    </row>
    <row r="162" spans="1:9" ht="12.9" customHeight="1">
      <c r="A162" s="17" t="s">
        <v>790</v>
      </c>
      <c r="B162" s="18" t="s">
        <v>791</v>
      </c>
      <c r="C162" s="14" t="s">
        <v>792</v>
      </c>
      <c r="D162" s="14"/>
      <c r="E162" s="19">
        <v>14475.826999999999</v>
      </c>
      <c r="F162" s="20">
        <v>1667.4716000000001</v>
      </c>
      <c r="G162" s="21">
        <v>2.3E-3</v>
      </c>
      <c r="H162" s="22"/>
      <c r="I162" s="23"/>
    </row>
    <row r="163" spans="1:9" ht="12.9" customHeight="1">
      <c r="A163" s="5"/>
      <c r="B163" s="13" t="s">
        <v>88</v>
      </c>
      <c r="C163" s="14"/>
      <c r="D163" s="14"/>
      <c r="E163" s="14"/>
      <c r="F163" s="24">
        <v>1667.4716000000001</v>
      </c>
      <c r="G163" s="25">
        <v>2.3E-3</v>
      </c>
      <c r="H163" s="26"/>
      <c r="I163" s="27"/>
    </row>
    <row r="164" spans="1:9" ht="12.9" customHeight="1">
      <c r="A164" s="5"/>
      <c r="B164" s="28" t="s">
        <v>91</v>
      </c>
      <c r="C164" s="29"/>
      <c r="D164" s="2"/>
      <c r="E164" s="29"/>
      <c r="F164" s="24">
        <v>1667.4716000000001</v>
      </c>
      <c r="G164" s="25">
        <v>2.3E-3</v>
      </c>
      <c r="H164" s="26"/>
      <c r="I164" s="27"/>
    </row>
    <row r="165" spans="1:9" ht="12.9" customHeight="1">
      <c r="A165" s="5"/>
      <c r="B165" s="13" t="s">
        <v>92</v>
      </c>
      <c r="C165" s="14"/>
      <c r="D165" s="14"/>
      <c r="E165" s="14"/>
      <c r="F165" s="14"/>
      <c r="G165" s="14"/>
      <c r="H165" s="15"/>
      <c r="I165" s="16"/>
    </row>
    <row r="166" spans="1:9" ht="12.9" customHeight="1">
      <c r="A166" s="17" t="s">
        <v>93</v>
      </c>
      <c r="B166" s="18" t="s">
        <v>94</v>
      </c>
      <c r="C166" s="14"/>
      <c r="D166" s="14"/>
      <c r="E166" s="19"/>
      <c r="F166" s="20">
        <v>7775.52</v>
      </c>
      <c r="G166" s="21">
        <v>1.0699999999999999E-2</v>
      </c>
      <c r="H166" s="22">
        <v>5.0765165460365101E-2</v>
      </c>
      <c r="I166" s="23"/>
    </row>
    <row r="167" spans="1:9" ht="12.9" customHeight="1">
      <c r="A167" s="5"/>
      <c r="B167" s="13" t="s">
        <v>88</v>
      </c>
      <c r="C167" s="14"/>
      <c r="D167" s="14"/>
      <c r="E167" s="14"/>
      <c r="F167" s="24">
        <v>7775.52</v>
      </c>
      <c r="G167" s="25">
        <v>1.0699999999999999E-2</v>
      </c>
      <c r="H167" s="26"/>
      <c r="I167" s="27"/>
    </row>
    <row r="168" spans="1:9" ht="12.9" customHeight="1">
      <c r="A168" s="5"/>
      <c r="B168" s="28" t="s">
        <v>91</v>
      </c>
      <c r="C168" s="29"/>
      <c r="D168" s="2"/>
      <c r="E168" s="29"/>
      <c r="F168" s="24">
        <v>7775.52</v>
      </c>
      <c r="G168" s="25">
        <v>1.0699999999999999E-2</v>
      </c>
      <c r="H168" s="26"/>
      <c r="I168" s="27"/>
    </row>
    <row r="169" spans="1:9" ht="12.9" customHeight="1">
      <c r="A169" s="5"/>
      <c r="B169" s="28" t="s">
        <v>96</v>
      </c>
      <c r="C169" s="14"/>
      <c r="D169" s="2"/>
      <c r="E169" s="14"/>
      <c r="F169" s="31">
        <v>14349.1276</v>
      </c>
      <c r="G169" s="25">
        <v>1.9699999999999999E-2</v>
      </c>
      <c r="H169" s="26"/>
      <c r="I169" s="27"/>
    </row>
    <row r="170" spans="1:9" ht="12.9" customHeight="1">
      <c r="A170" s="5"/>
      <c r="B170" s="32" t="s">
        <v>97</v>
      </c>
      <c r="C170" s="33"/>
      <c r="D170" s="33"/>
      <c r="E170" s="33"/>
      <c r="F170" s="34">
        <v>726734.46</v>
      </c>
      <c r="G170" s="35">
        <v>1</v>
      </c>
      <c r="H170" s="36"/>
      <c r="I170" s="37"/>
    </row>
    <row r="171" spans="1:9" ht="12.9" customHeight="1">
      <c r="A171" s="5"/>
      <c r="B171" s="7"/>
      <c r="C171" s="5"/>
      <c r="D171" s="5"/>
      <c r="E171" s="5"/>
      <c r="F171" s="5"/>
      <c r="G171" s="5"/>
      <c r="H171" s="5"/>
      <c r="I171" s="5"/>
    </row>
    <row r="172" spans="1:9" ht="12.9" customHeight="1">
      <c r="A172" s="5"/>
      <c r="B172" s="4" t="s">
        <v>2806</v>
      </c>
      <c r="C172" s="5"/>
      <c r="D172" s="5"/>
      <c r="E172" s="5"/>
      <c r="F172" s="5"/>
      <c r="G172" s="5"/>
      <c r="H172" s="5"/>
      <c r="I172" s="5"/>
    </row>
    <row r="173" spans="1:9" ht="12.9" customHeight="1">
      <c r="A173" s="5"/>
      <c r="B173" s="4" t="s">
        <v>2807</v>
      </c>
      <c r="C173" s="5"/>
      <c r="D173" s="5"/>
      <c r="E173" s="5"/>
      <c r="F173" s="5"/>
      <c r="G173" s="5"/>
      <c r="H173" s="5"/>
      <c r="I173" s="5"/>
    </row>
    <row r="174" spans="1:9" ht="12.9" customHeight="1">
      <c r="A174" s="5"/>
      <c r="B174" s="4" t="s">
        <v>146</v>
      </c>
      <c r="C174" s="5"/>
      <c r="D174" s="5"/>
      <c r="E174" s="5"/>
      <c r="F174" s="5"/>
      <c r="G174" s="5"/>
      <c r="H174" s="5"/>
      <c r="I174" s="5"/>
    </row>
    <row r="175" spans="1:9" ht="12.9" customHeight="1">
      <c r="A175" s="5"/>
      <c r="B175" s="4" t="s">
        <v>98</v>
      </c>
      <c r="C175" s="5"/>
      <c r="D175" s="5"/>
      <c r="E175" s="5"/>
      <c r="F175" s="5"/>
      <c r="G175" s="5"/>
      <c r="H175" s="5"/>
      <c r="I175" s="5"/>
    </row>
    <row r="176" spans="1:9" ht="12.9" customHeight="1">
      <c r="A176" s="5"/>
      <c r="B176" s="4" t="s">
        <v>99</v>
      </c>
      <c r="C176" s="5"/>
      <c r="D176" s="5"/>
      <c r="E176" s="5"/>
      <c r="F176" s="5"/>
      <c r="G176" s="5"/>
      <c r="H176" s="5"/>
      <c r="I176" s="5"/>
    </row>
    <row r="177" spans="1:9" ht="26.1" customHeight="1">
      <c r="A177" s="5"/>
      <c r="B177" s="50" t="s">
        <v>100</v>
      </c>
      <c r="C177" s="50"/>
      <c r="D177" s="50"/>
      <c r="E177" s="50"/>
      <c r="F177" s="50"/>
      <c r="G177" s="50"/>
      <c r="H177" s="50"/>
      <c r="I177" s="50"/>
    </row>
    <row r="178" spans="1:9" ht="12.9" customHeight="1">
      <c r="A178" s="5"/>
      <c r="B178" s="50" t="s">
        <v>101</v>
      </c>
      <c r="C178" s="50"/>
      <c r="D178" s="50"/>
      <c r="E178" s="50"/>
      <c r="F178" s="50"/>
      <c r="G178" s="50"/>
      <c r="H178" s="50"/>
      <c r="I178" s="50"/>
    </row>
    <row r="179" spans="1:9" ht="12.9" customHeight="1">
      <c r="A179" s="5"/>
      <c r="B179" s="50"/>
      <c r="C179" s="50"/>
      <c r="D179" s="50"/>
      <c r="E179" s="50"/>
      <c r="F179" s="50"/>
      <c r="G179" s="50"/>
      <c r="H179" s="50"/>
      <c r="I179" s="50"/>
    </row>
    <row r="180" spans="1:9" ht="12.9" customHeight="1">
      <c r="A180" s="5"/>
      <c r="B180" s="50"/>
      <c r="C180" s="50"/>
      <c r="D180" s="50"/>
      <c r="E180" s="50"/>
      <c r="F180" s="50"/>
      <c r="G180" s="50"/>
      <c r="H180" s="50"/>
      <c r="I180" s="50"/>
    </row>
    <row r="181" spans="1:9" ht="12.9" customHeight="1">
      <c r="A181" s="5"/>
      <c r="B181" s="5"/>
      <c r="C181" s="51" t="s">
        <v>2936</v>
      </c>
      <c r="D181" s="51"/>
      <c r="E181" s="51"/>
      <c r="F181" s="51"/>
      <c r="G181" s="5"/>
      <c r="H181" s="5"/>
      <c r="I181" s="5"/>
    </row>
    <row r="182" spans="1:9" ht="12.9" customHeight="1">
      <c r="A182" s="5"/>
      <c r="B182" s="38" t="s">
        <v>103</v>
      </c>
      <c r="C182" s="51" t="s">
        <v>104</v>
      </c>
      <c r="D182" s="51"/>
      <c r="E182" s="51"/>
      <c r="F182" s="51"/>
      <c r="G182" s="5"/>
      <c r="H182" s="5"/>
      <c r="I182" s="5"/>
    </row>
    <row r="183" spans="1:9" ht="135" customHeight="1">
      <c r="A183" s="5"/>
      <c r="B183" s="39"/>
      <c r="C183" s="52"/>
      <c r="D183" s="52"/>
      <c r="E183" s="5"/>
      <c r="F183" s="5"/>
      <c r="G183" s="5"/>
      <c r="H183" s="5"/>
      <c r="I183" s="5"/>
    </row>
  </sheetData>
  <mergeCells count="7">
    <mergeCell ref="B180:I180"/>
    <mergeCell ref="C181:F181"/>
    <mergeCell ref="C182:F182"/>
    <mergeCell ref="C183:D183"/>
    <mergeCell ref="B177:I177"/>
    <mergeCell ref="B178:I178"/>
    <mergeCell ref="B179:I179"/>
  </mergeCells>
  <hyperlinks>
    <hyperlink ref="A1" location="AxisTreasuryAdvantageFund" display="AXISTAA" xr:uid="{00000000-0004-0000-4F00-000000000000}"/>
    <hyperlink ref="B1" location="AxisTreasuryAdvantageFund" display="Axis Treasury Advantage Fund" xr:uid="{00000000-0004-0000-4F00-000001000000}"/>
  </hyperlinks>
  <pageMargins left="0" right="0" top="0" bottom="0" header="0" footer="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/>
  </sheetPr>
  <dimension ref="A1:I24"/>
  <sheetViews>
    <sheetView workbookViewId="0">
      <selection activeCell="B20" sqref="B20:I20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65</v>
      </c>
      <c r="B1" s="4" t="s">
        <v>66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285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1619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2937</v>
      </c>
      <c r="B7" s="18" t="s">
        <v>2938</v>
      </c>
      <c r="C7" s="14" t="s">
        <v>2939</v>
      </c>
      <c r="D7" s="14"/>
      <c r="E7" s="19">
        <v>29750</v>
      </c>
      <c r="F7" s="20">
        <v>4165.6417000000001</v>
      </c>
      <c r="G7" s="21">
        <v>0.98580000000000001</v>
      </c>
      <c r="H7" s="30"/>
      <c r="I7" s="23"/>
    </row>
    <row r="8" spans="1:9" ht="12.9" customHeight="1">
      <c r="A8" s="5"/>
      <c r="B8" s="13" t="s">
        <v>88</v>
      </c>
      <c r="C8" s="14"/>
      <c r="D8" s="14"/>
      <c r="E8" s="14"/>
      <c r="F8" s="24">
        <v>4165.6417000000001</v>
      </c>
      <c r="G8" s="25">
        <v>0.98580000000000001</v>
      </c>
      <c r="H8" s="26"/>
      <c r="I8" s="27"/>
    </row>
    <row r="9" spans="1:9" ht="12.9" customHeight="1">
      <c r="A9" s="5"/>
      <c r="B9" s="28" t="s">
        <v>91</v>
      </c>
      <c r="C9" s="29"/>
      <c r="D9" s="2"/>
      <c r="E9" s="29"/>
      <c r="F9" s="24">
        <v>4165.6417000000001</v>
      </c>
      <c r="G9" s="25">
        <v>0.98580000000000001</v>
      </c>
      <c r="H9" s="26"/>
      <c r="I9" s="27"/>
    </row>
    <row r="10" spans="1:9" ht="12.9" customHeight="1">
      <c r="A10" s="5"/>
      <c r="B10" s="13" t="s">
        <v>92</v>
      </c>
      <c r="C10" s="14"/>
      <c r="D10" s="14"/>
      <c r="E10" s="14"/>
      <c r="F10" s="14"/>
      <c r="G10" s="14"/>
      <c r="H10" s="15"/>
      <c r="I10" s="16"/>
    </row>
    <row r="11" spans="1:9" ht="12.9" customHeight="1">
      <c r="A11" s="17" t="s">
        <v>93</v>
      </c>
      <c r="B11" s="18" t="s">
        <v>94</v>
      </c>
      <c r="C11" s="14"/>
      <c r="D11" s="14"/>
      <c r="E11" s="19"/>
      <c r="F11" s="20">
        <v>59.68</v>
      </c>
      <c r="G11" s="21">
        <v>1.41E-2</v>
      </c>
      <c r="H11" s="22">
        <v>5.0765177872666198E-2</v>
      </c>
      <c r="I11" s="23"/>
    </row>
    <row r="12" spans="1:9" ht="12.9" customHeight="1">
      <c r="A12" s="5"/>
      <c r="B12" s="13" t="s">
        <v>88</v>
      </c>
      <c r="C12" s="14"/>
      <c r="D12" s="14"/>
      <c r="E12" s="14"/>
      <c r="F12" s="24">
        <v>59.68</v>
      </c>
      <c r="G12" s="25">
        <v>1.41E-2</v>
      </c>
      <c r="H12" s="26"/>
      <c r="I12" s="27"/>
    </row>
    <row r="13" spans="1:9" ht="12.9" customHeight="1">
      <c r="A13" s="5"/>
      <c r="B13" s="28" t="s">
        <v>91</v>
      </c>
      <c r="C13" s="29"/>
      <c r="D13" s="2"/>
      <c r="E13" s="29"/>
      <c r="F13" s="24">
        <v>59.68</v>
      </c>
      <c r="G13" s="25">
        <v>1.41E-2</v>
      </c>
      <c r="H13" s="26"/>
      <c r="I13" s="27"/>
    </row>
    <row r="14" spans="1:9" ht="12.9" customHeight="1">
      <c r="A14" s="5"/>
      <c r="B14" s="28" t="s">
        <v>96</v>
      </c>
      <c r="C14" s="14"/>
      <c r="D14" s="2"/>
      <c r="E14" s="14"/>
      <c r="F14" s="31">
        <v>0.4783</v>
      </c>
      <c r="G14" s="25">
        <v>1E-4</v>
      </c>
      <c r="H14" s="26"/>
      <c r="I14" s="27"/>
    </row>
    <row r="15" spans="1:9" ht="12.9" customHeight="1">
      <c r="A15" s="5"/>
      <c r="B15" s="32" t="s">
        <v>97</v>
      </c>
      <c r="C15" s="33"/>
      <c r="D15" s="33"/>
      <c r="E15" s="33"/>
      <c r="F15" s="34">
        <v>4225.8</v>
      </c>
      <c r="G15" s="35">
        <v>1</v>
      </c>
      <c r="H15" s="36"/>
      <c r="I15" s="37"/>
    </row>
    <row r="16" spans="1:9" ht="12.9" customHeight="1">
      <c r="A16" s="5"/>
      <c r="B16" s="7"/>
      <c r="C16" s="5"/>
      <c r="D16" s="5"/>
      <c r="E16" s="5"/>
      <c r="F16" s="5"/>
      <c r="G16" s="5"/>
      <c r="H16" s="5"/>
      <c r="I16" s="5"/>
    </row>
    <row r="17" spans="1:9" ht="12.9" customHeight="1">
      <c r="A17" s="5"/>
      <c r="B17" s="4" t="s">
        <v>99</v>
      </c>
      <c r="C17" s="5"/>
      <c r="D17" s="5"/>
      <c r="E17" s="5"/>
      <c r="F17" s="5"/>
      <c r="G17" s="5"/>
      <c r="H17" s="5"/>
      <c r="I17" s="5"/>
    </row>
    <row r="18" spans="1:9" ht="26.1" customHeight="1">
      <c r="A18" s="5"/>
      <c r="B18" s="50" t="s">
        <v>100</v>
      </c>
      <c r="C18" s="50"/>
      <c r="D18" s="50"/>
      <c r="E18" s="50"/>
      <c r="F18" s="50"/>
      <c r="G18" s="50"/>
      <c r="H18" s="50"/>
      <c r="I18" s="50"/>
    </row>
    <row r="19" spans="1:9" ht="12.9" customHeight="1">
      <c r="A19" s="5"/>
      <c r="B19" s="50" t="s">
        <v>101</v>
      </c>
      <c r="C19" s="50"/>
      <c r="D19" s="50"/>
      <c r="E19" s="50"/>
      <c r="F19" s="50"/>
      <c r="G19" s="50"/>
      <c r="H19" s="50"/>
      <c r="I19" s="50"/>
    </row>
    <row r="20" spans="1:9" ht="12.9" customHeight="1">
      <c r="A20" s="5"/>
      <c r="B20" s="50"/>
      <c r="C20" s="50"/>
      <c r="D20" s="50"/>
      <c r="E20" s="50"/>
      <c r="F20" s="50"/>
      <c r="G20" s="50"/>
      <c r="H20" s="50"/>
      <c r="I20" s="50"/>
    </row>
    <row r="21" spans="1:9" ht="12.9" customHeight="1">
      <c r="A21" s="5"/>
      <c r="B21" s="50"/>
      <c r="C21" s="50"/>
      <c r="D21" s="50"/>
      <c r="E21" s="50"/>
      <c r="F21" s="50"/>
      <c r="G21" s="50"/>
      <c r="H21" s="50"/>
      <c r="I21" s="50"/>
    </row>
    <row r="22" spans="1:9" ht="12.9" customHeight="1">
      <c r="A22" s="5"/>
      <c r="B22" s="5"/>
      <c r="C22" s="51" t="s">
        <v>2940</v>
      </c>
      <c r="D22" s="51"/>
      <c r="E22" s="51"/>
      <c r="F22" s="51"/>
      <c r="G22" s="5"/>
      <c r="H22" s="5"/>
      <c r="I22" s="5"/>
    </row>
    <row r="23" spans="1:9" ht="12.9" customHeight="1">
      <c r="A23" s="5"/>
      <c r="B23" s="38" t="s">
        <v>103</v>
      </c>
      <c r="C23" s="51" t="s">
        <v>104</v>
      </c>
      <c r="D23" s="51"/>
      <c r="E23" s="51"/>
      <c r="F23" s="51"/>
      <c r="G23" s="5"/>
      <c r="H23" s="5"/>
      <c r="I23" s="5"/>
    </row>
    <row r="24" spans="1:9" ht="135" customHeight="1">
      <c r="A24" s="5"/>
      <c r="B24" s="39"/>
      <c r="C24" s="52"/>
      <c r="D24" s="52"/>
      <c r="E24" s="5"/>
      <c r="F24" s="5"/>
      <c r="G24" s="5"/>
      <c r="H24" s="5"/>
      <c r="I24" s="5"/>
    </row>
  </sheetData>
  <mergeCells count="7">
    <mergeCell ref="B21:I21"/>
    <mergeCell ref="C22:F22"/>
    <mergeCell ref="C23:F23"/>
    <mergeCell ref="C24:D24"/>
    <mergeCell ref="B18:I18"/>
    <mergeCell ref="B19:I19"/>
    <mergeCell ref="B20:I20"/>
  </mergeCells>
  <hyperlinks>
    <hyperlink ref="A1" location="AxisUSSpecificTreasuryDynamicDebtPassiveFOF" display="AXISTDB" xr:uid="{00000000-0004-0000-5100-000000000000}"/>
    <hyperlink ref="B1" location="AxisUSSpecificTreasuryDynamicDebtPassiveFOF" display="Axis US Specific Treasury Dynamic Debt Passive FOF" xr:uid="{00000000-0004-0000-5100-000001000000}"/>
  </hyperlinks>
  <pageMargins left="0" right="0" top="0" bottom="0" header="0" footer="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/>
  </sheetPr>
  <dimension ref="A1:I146"/>
  <sheetViews>
    <sheetView tabSelected="1" workbookViewId="0">
      <selection activeCell="B142" sqref="B142:I142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3" t="s">
        <v>67</v>
      </c>
      <c r="B1" s="4" t="s">
        <v>68</v>
      </c>
      <c r="C1" s="5"/>
      <c r="D1" s="5"/>
      <c r="E1" s="5"/>
      <c r="F1" s="5"/>
      <c r="G1" s="5"/>
      <c r="H1" s="5"/>
      <c r="I1" s="5"/>
    </row>
    <row r="2" spans="1:9" ht="12.9" customHeight="1">
      <c r="A2" s="5"/>
      <c r="B2" s="6"/>
      <c r="C2" s="5"/>
      <c r="D2" s="5"/>
      <c r="E2" s="5"/>
      <c r="F2" s="5"/>
      <c r="G2" s="5"/>
      <c r="H2" s="5"/>
      <c r="I2" s="5"/>
    </row>
    <row r="3" spans="1:9" ht="12.9" customHeight="1">
      <c r="A3" s="7" t="s">
        <v>69</v>
      </c>
      <c r="B3" s="8" t="s">
        <v>70</v>
      </c>
      <c r="C3" s="5"/>
      <c r="D3" s="5"/>
      <c r="E3" s="5"/>
      <c r="F3" s="5"/>
      <c r="G3" s="5"/>
      <c r="H3" s="5"/>
      <c r="I3" s="5"/>
    </row>
    <row r="4" spans="1:9" ht="27.9" customHeight="1">
      <c r="A4" s="5"/>
      <c r="B4" s="9" t="s">
        <v>71</v>
      </c>
      <c r="C4" s="10" t="s">
        <v>72</v>
      </c>
      <c r="D4" s="11" t="s">
        <v>105</v>
      </c>
      <c r="E4" s="11" t="s">
        <v>74</v>
      </c>
      <c r="F4" s="11" t="s">
        <v>75</v>
      </c>
      <c r="G4" s="11" t="s">
        <v>76</v>
      </c>
      <c r="H4" s="11" t="s">
        <v>77</v>
      </c>
      <c r="I4" s="12" t="s">
        <v>78</v>
      </c>
    </row>
    <row r="5" spans="1:9" ht="12.9" customHeight="1">
      <c r="A5" s="5"/>
      <c r="B5" s="13" t="s">
        <v>316</v>
      </c>
      <c r="C5" s="14"/>
      <c r="D5" s="14"/>
      <c r="E5" s="14"/>
      <c r="F5" s="14"/>
      <c r="G5" s="14"/>
      <c r="H5" s="15"/>
      <c r="I5" s="16"/>
    </row>
    <row r="6" spans="1:9" ht="12.9" customHeight="1">
      <c r="A6" s="5"/>
      <c r="B6" s="13" t="s">
        <v>317</v>
      </c>
      <c r="C6" s="14"/>
      <c r="D6" s="14"/>
      <c r="E6" s="14"/>
      <c r="F6" s="5"/>
      <c r="G6" s="15"/>
      <c r="H6" s="15"/>
      <c r="I6" s="16"/>
    </row>
    <row r="7" spans="1:9" ht="12.9" customHeight="1">
      <c r="A7" s="17" t="s">
        <v>2941</v>
      </c>
      <c r="B7" s="18" t="s">
        <v>2942</v>
      </c>
      <c r="C7" s="14"/>
      <c r="D7" s="14"/>
      <c r="E7" s="40"/>
      <c r="F7" s="20">
        <v>9.1199999999999992</v>
      </c>
      <c r="G7" s="30" t="s">
        <v>95</v>
      </c>
      <c r="H7" s="30"/>
      <c r="I7" s="23"/>
    </row>
    <row r="8" spans="1:9" ht="12.9" customHeight="1">
      <c r="A8" s="17" t="s">
        <v>2943</v>
      </c>
      <c r="B8" s="18" t="s">
        <v>2944</v>
      </c>
      <c r="C8" s="14"/>
      <c r="D8" s="14"/>
      <c r="E8" s="40"/>
      <c r="F8" s="20">
        <v>1.3</v>
      </c>
      <c r="G8" s="30" t="s">
        <v>95</v>
      </c>
      <c r="H8" s="30"/>
      <c r="I8" s="23"/>
    </row>
    <row r="9" spans="1:9" ht="12.9" customHeight="1">
      <c r="A9" s="17" t="s">
        <v>2945</v>
      </c>
      <c r="B9" s="18" t="s">
        <v>2946</v>
      </c>
      <c r="C9" s="14"/>
      <c r="D9" s="14"/>
      <c r="E9" s="40"/>
      <c r="F9" s="20">
        <v>-0.25</v>
      </c>
      <c r="G9" s="30" t="s">
        <v>95</v>
      </c>
      <c r="H9" s="30"/>
      <c r="I9" s="23"/>
    </row>
    <row r="10" spans="1:9" ht="12.9" customHeight="1">
      <c r="A10" s="17" t="s">
        <v>2947</v>
      </c>
      <c r="B10" s="18" t="s">
        <v>2948</v>
      </c>
      <c r="C10" s="14"/>
      <c r="D10" s="14"/>
      <c r="E10" s="40"/>
      <c r="F10" s="20">
        <v>-1.335</v>
      </c>
      <c r="G10" s="30" t="s">
        <v>95</v>
      </c>
      <c r="H10" s="30"/>
      <c r="I10" s="23"/>
    </row>
    <row r="11" spans="1:9" ht="12.9" customHeight="1">
      <c r="A11" s="17" t="s">
        <v>2949</v>
      </c>
      <c r="B11" s="18" t="s">
        <v>2950</v>
      </c>
      <c r="C11" s="14"/>
      <c r="D11" s="14"/>
      <c r="E11" s="40"/>
      <c r="F11" s="20">
        <v>-1.75</v>
      </c>
      <c r="G11" s="30" t="s">
        <v>95</v>
      </c>
      <c r="H11" s="30"/>
      <c r="I11" s="23"/>
    </row>
    <row r="12" spans="1:9" ht="12.9" customHeight="1">
      <c r="A12" s="17" t="s">
        <v>2951</v>
      </c>
      <c r="B12" s="18" t="s">
        <v>2952</v>
      </c>
      <c r="C12" s="14"/>
      <c r="D12" s="14"/>
      <c r="E12" s="40"/>
      <c r="F12" s="20">
        <v>-6.0075000000000003</v>
      </c>
      <c r="G12" s="30" t="s">
        <v>95</v>
      </c>
      <c r="H12" s="30"/>
      <c r="I12" s="23"/>
    </row>
    <row r="13" spans="1:9" ht="12.9" customHeight="1">
      <c r="A13" s="17" t="s">
        <v>2953</v>
      </c>
      <c r="B13" s="18" t="s">
        <v>2954</v>
      </c>
      <c r="C13" s="14"/>
      <c r="D13" s="14"/>
      <c r="E13" s="40"/>
      <c r="F13" s="20">
        <v>-6.6224999999999996</v>
      </c>
      <c r="G13" s="30" t="s">
        <v>95</v>
      </c>
      <c r="H13" s="30"/>
      <c r="I13" s="23"/>
    </row>
    <row r="14" spans="1:9" ht="12.9" customHeight="1">
      <c r="A14" s="5"/>
      <c r="B14" s="13" t="s">
        <v>88</v>
      </c>
      <c r="C14" s="14"/>
      <c r="D14" s="14"/>
      <c r="E14" s="14"/>
      <c r="F14" s="24">
        <v>-5.5449999999999999</v>
      </c>
      <c r="G14" s="26" t="s">
        <v>95</v>
      </c>
      <c r="H14" s="26"/>
      <c r="I14" s="27"/>
    </row>
    <row r="15" spans="1:9" ht="12.9" customHeight="1">
      <c r="A15" s="5"/>
      <c r="B15" s="28" t="s">
        <v>91</v>
      </c>
      <c r="C15" s="29"/>
      <c r="D15" s="2"/>
      <c r="E15" s="29"/>
      <c r="F15" s="24">
        <v>-5.5449999999999999</v>
      </c>
      <c r="G15" s="26" t="s">
        <v>95</v>
      </c>
      <c r="H15" s="26"/>
      <c r="I15" s="27"/>
    </row>
    <row r="16" spans="1:9" ht="12.9" customHeight="1">
      <c r="A16" s="5"/>
      <c r="B16" s="13" t="s">
        <v>79</v>
      </c>
      <c r="C16" s="14"/>
      <c r="D16" s="14"/>
      <c r="E16" s="14"/>
      <c r="F16" s="14"/>
      <c r="G16" s="14"/>
      <c r="H16" s="15"/>
      <c r="I16" s="16"/>
    </row>
    <row r="17" spans="1:9" ht="12.9" customHeight="1">
      <c r="A17" s="5"/>
      <c r="B17" s="13" t="s">
        <v>80</v>
      </c>
      <c r="C17" s="14"/>
      <c r="D17" s="14"/>
      <c r="E17" s="14"/>
      <c r="F17" s="5"/>
      <c r="G17" s="15"/>
      <c r="H17" s="15"/>
      <c r="I17" s="16"/>
    </row>
    <row r="18" spans="1:9" ht="12.9" customHeight="1">
      <c r="A18" s="17" t="s">
        <v>1478</v>
      </c>
      <c r="B18" s="18" t="s">
        <v>1479</v>
      </c>
      <c r="C18" s="14" t="s">
        <v>1480</v>
      </c>
      <c r="D18" s="14" t="s">
        <v>109</v>
      </c>
      <c r="E18" s="19">
        <v>17500</v>
      </c>
      <c r="F18" s="20">
        <v>17570.612499999999</v>
      </c>
      <c r="G18" s="21">
        <v>2.5600000000000001E-2</v>
      </c>
      <c r="H18" s="22">
        <v>6.7100000000000007E-2</v>
      </c>
      <c r="I18" s="23"/>
    </row>
    <row r="19" spans="1:9" ht="12.9" customHeight="1">
      <c r="A19" s="17" t="s">
        <v>1574</v>
      </c>
      <c r="B19" s="18" t="s">
        <v>1575</v>
      </c>
      <c r="C19" s="14" t="s">
        <v>1576</v>
      </c>
      <c r="D19" s="14" t="s">
        <v>109</v>
      </c>
      <c r="E19" s="19">
        <v>1500</v>
      </c>
      <c r="F19" s="20">
        <v>15059.775</v>
      </c>
      <c r="G19" s="21">
        <v>2.1899999999999999E-2</v>
      </c>
      <c r="H19" s="22">
        <v>6.5648999999999999E-2</v>
      </c>
      <c r="I19" s="23"/>
    </row>
    <row r="20" spans="1:9" ht="12.9" customHeight="1">
      <c r="A20" s="17" t="s">
        <v>1445</v>
      </c>
      <c r="B20" s="18" t="s">
        <v>1446</v>
      </c>
      <c r="C20" s="14" t="s">
        <v>1447</v>
      </c>
      <c r="D20" s="14" t="s">
        <v>1448</v>
      </c>
      <c r="E20" s="19">
        <v>14000</v>
      </c>
      <c r="F20" s="20">
        <v>14044.072</v>
      </c>
      <c r="G20" s="21">
        <v>2.0400000000000001E-2</v>
      </c>
      <c r="H20" s="22">
        <v>7.2799000000000003E-2</v>
      </c>
      <c r="I20" s="23"/>
    </row>
    <row r="21" spans="1:9" ht="12.9" customHeight="1">
      <c r="A21" s="17" t="s">
        <v>2955</v>
      </c>
      <c r="B21" s="18" t="s">
        <v>2956</v>
      </c>
      <c r="C21" s="14" t="s">
        <v>2957</v>
      </c>
      <c r="D21" s="14" t="s">
        <v>1444</v>
      </c>
      <c r="E21" s="19">
        <v>12900</v>
      </c>
      <c r="F21" s="20">
        <v>12928.4316</v>
      </c>
      <c r="G21" s="21">
        <v>1.8800000000000001E-2</v>
      </c>
      <c r="H21" s="22">
        <v>6.6698999999999994E-2</v>
      </c>
      <c r="I21" s="23"/>
    </row>
    <row r="22" spans="1:9" ht="12.9" customHeight="1">
      <c r="A22" s="17" t="s">
        <v>1233</v>
      </c>
      <c r="B22" s="18" t="s">
        <v>1234</v>
      </c>
      <c r="C22" s="14" t="s">
        <v>1235</v>
      </c>
      <c r="D22" s="14" t="s">
        <v>84</v>
      </c>
      <c r="E22" s="19">
        <v>11500000</v>
      </c>
      <c r="F22" s="20">
        <v>11763.5455</v>
      </c>
      <c r="G22" s="21">
        <v>1.7100000000000001E-2</v>
      </c>
      <c r="H22" s="22">
        <v>6.0024000000000001E-2</v>
      </c>
      <c r="I22" s="23"/>
    </row>
    <row r="23" spans="1:9" ht="12.9" customHeight="1">
      <c r="A23" s="17" t="s">
        <v>134</v>
      </c>
      <c r="B23" s="18" t="s">
        <v>135</v>
      </c>
      <c r="C23" s="14" t="s">
        <v>136</v>
      </c>
      <c r="D23" s="14" t="s">
        <v>109</v>
      </c>
      <c r="E23" s="19">
        <v>1100</v>
      </c>
      <c r="F23" s="20">
        <v>11034.034</v>
      </c>
      <c r="G23" s="21">
        <v>1.61E-2</v>
      </c>
      <c r="H23" s="22">
        <v>6.2751000000000001E-2</v>
      </c>
      <c r="I23" s="23"/>
    </row>
    <row r="24" spans="1:9" ht="12.9" customHeight="1">
      <c r="A24" s="17" t="s">
        <v>106</v>
      </c>
      <c r="B24" s="18" t="s">
        <v>107</v>
      </c>
      <c r="C24" s="14" t="s">
        <v>108</v>
      </c>
      <c r="D24" s="14" t="s">
        <v>109</v>
      </c>
      <c r="E24" s="19">
        <v>10500</v>
      </c>
      <c r="F24" s="20">
        <v>10516.9365</v>
      </c>
      <c r="G24" s="21">
        <v>1.5299999999999999E-2</v>
      </c>
      <c r="H24" s="22">
        <v>6.4597000000000002E-2</v>
      </c>
      <c r="I24" s="23"/>
    </row>
    <row r="25" spans="1:9" ht="12.9" customHeight="1">
      <c r="A25" s="17" t="s">
        <v>2958</v>
      </c>
      <c r="B25" s="18" t="s">
        <v>2959</v>
      </c>
      <c r="C25" s="14" t="s">
        <v>2960</v>
      </c>
      <c r="D25" s="14" t="s">
        <v>84</v>
      </c>
      <c r="E25" s="19">
        <v>9940400</v>
      </c>
      <c r="F25" s="20">
        <v>10080.281300000001</v>
      </c>
      <c r="G25" s="21">
        <v>1.47E-2</v>
      </c>
      <c r="H25" s="22">
        <v>5.9492000000000003E-2</v>
      </c>
      <c r="I25" s="23"/>
    </row>
    <row r="26" spans="1:9" ht="12.9" customHeight="1">
      <c r="A26" s="17" t="s">
        <v>2681</v>
      </c>
      <c r="B26" s="18" t="s">
        <v>2682</v>
      </c>
      <c r="C26" s="14" t="s">
        <v>2683</v>
      </c>
      <c r="D26" s="14" t="s">
        <v>895</v>
      </c>
      <c r="E26" s="19">
        <v>10000</v>
      </c>
      <c r="F26" s="20">
        <v>10069.93</v>
      </c>
      <c r="G26" s="21">
        <v>1.46E-2</v>
      </c>
      <c r="H26" s="22">
        <v>7.6399999999999996E-2</v>
      </c>
      <c r="I26" s="23"/>
    </row>
    <row r="27" spans="1:9" ht="12.9" customHeight="1">
      <c r="A27" s="17" t="s">
        <v>2834</v>
      </c>
      <c r="B27" s="18" t="s">
        <v>2835</v>
      </c>
      <c r="C27" s="14" t="s">
        <v>2836</v>
      </c>
      <c r="D27" s="14" t="s">
        <v>1504</v>
      </c>
      <c r="E27" s="19">
        <v>10000</v>
      </c>
      <c r="F27" s="20">
        <v>10053.14</v>
      </c>
      <c r="G27" s="21">
        <v>1.46E-2</v>
      </c>
      <c r="H27" s="22">
        <v>8.5697999999999996E-2</v>
      </c>
      <c r="I27" s="23"/>
    </row>
    <row r="28" spans="1:9" ht="12.9" customHeight="1">
      <c r="A28" s="17" t="s">
        <v>2961</v>
      </c>
      <c r="B28" s="18" t="s">
        <v>2962</v>
      </c>
      <c r="C28" s="14" t="s">
        <v>2963</v>
      </c>
      <c r="D28" s="14" t="s">
        <v>1437</v>
      </c>
      <c r="E28" s="19">
        <v>10000</v>
      </c>
      <c r="F28" s="20">
        <v>10041.31</v>
      </c>
      <c r="G28" s="21">
        <v>1.46E-2</v>
      </c>
      <c r="H28" s="22">
        <v>7.8399999999999997E-2</v>
      </c>
      <c r="I28" s="23"/>
    </row>
    <row r="29" spans="1:9" ht="12.9" customHeight="1">
      <c r="A29" s="17" t="s">
        <v>2964</v>
      </c>
      <c r="B29" s="18" t="s">
        <v>2965</v>
      </c>
      <c r="C29" s="14" t="s">
        <v>2966</v>
      </c>
      <c r="D29" s="14" t="s">
        <v>895</v>
      </c>
      <c r="E29" s="19">
        <v>1000</v>
      </c>
      <c r="F29" s="20">
        <v>10002.01</v>
      </c>
      <c r="G29" s="21">
        <v>1.46E-2</v>
      </c>
      <c r="H29" s="22">
        <v>6.6501000000000005E-2</v>
      </c>
      <c r="I29" s="23"/>
    </row>
    <row r="30" spans="1:9" ht="12.9" customHeight="1">
      <c r="A30" s="17" t="s">
        <v>2846</v>
      </c>
      <c r="B30" s="18" t="s">
        <v>2847</v>
      </c>
      <c r="C30" s="14" t="s">
        <v>2848</v>
      </c>
      <c r="D30" s="14" t="s">
        <v>84</v>
      </c>
      <c r="E30" s="19">
        <v>9000000</v>
      </c>
      <c r="F30" s="20">
        <v>9187.6409999999996</v>
      </c>
      <c r="G30" s="21">
        <v>1.34E-2</v>
      </c>
      <c r="H30" s="22">
        <v>6.0024000000000001E-2</v>
      </c>
      <c r="I30" s="23"/>
    </row>
    <row r="31" spans="1:9" ht="12.9" customHeight="1">
      <c r="A31" s="17" t="s">
        <v>2967</v>
      </c>
      <c r="B31" s="18" t="s">
        <v>2968</v>
      </c>
      <c r="C31" s="14" t="s">
        <v>2969</v>
      </c>
      <c r="D31" s="14" t="s">
        <v>84</v>
      </c>
      <c r="E31" s="19">
        <v>8500000</v>
      </c>
      <c r="F31" s="20">
        <v>8675.8310000000001</v>
      </c>
      <c r="G31" s="21">
        <v>1.26E-2</v>
      </c>
      <c r="H31" s="22">
        <v>6.0024000000000001E-2</v>
      </c>
      <c r="I31" s="23"/>
    </row>
    <row r="32" spans="1:9" ht="12.9" customHeight="1">
      <c r="A32" s="17" t="s">
        <v>2970</v>
      </c>
      <c r="B32" s="18" t="s">
        <v>2971</v>
      </c>
      <c r="C32" s="14" t="s">
        <v>2972</v>
      </c>
      <c r="D32" s="14" t="s">
        <v>109</v>
      </c>
      <c r="E32" s="19">
        <v>7500</v>
      </c>
      <c r="F32" s="20">
        <v>7549.68</v>
      </c>
      <c r="G32" s="21">
        <v>1.0999999999999999E-2</v>
      </c>
      <c r="H32" s="22">
        <v>6.9650000000000004E-2</v>
      </c>
      <c r="I32" s="23"/>
    </row>
    <row r="33" spans="1:9" ht="12.9" customHeight="1">
      <c r="A33" s="17" t="s">
        <v>1472</v>
      </c>
      <c r="B33" s="18" t="s">
        <v>1473</v>
      </c>
      <c r="C33" s="14" t="s">
        <v>1474</v>
      </c>
      <c r="D33" s="14" t="s">
        <v>109</v>
      </c>
      <c r="E33" s="19">
        <v>7500</v>
      </c>
      <c r="F33" s="20">
        <v>7525.2524999999996</v>
      </c>
      <c r="G33" s="21">
        <v>1.09E-2</v>
      </c>
      <c r="H33" s="22">
        <v>6.8500000000000005E-2</v>
      </c>
      <c r="I33" s="23"/>
    </row>
    <row r="34" spans="1:9" ht="12.9" customHeight="1">
      <c r="A34" s="17" t="s">
        <v>2973</v>
      </c>
      <c r="B34" s="18" t="s">
        <v>2974</v>
      </c>
      <c r="C34" s="14" t="s">
        <v>2975</v>
      </c>
      <c r="D34" s="14" t="s">
        <v>895</v>
      </c>
      <c r="E34" s="19">
        <v>7300</v>
      </c>
      <c r="F34" s="20">
        <v>7350.2093999999997</v>
      </c>
      <c r="G34" s="21">
        <v>1.0699999999999999E-2</v>
      </c>
      <c r="H34" s="22">
        <v>7.2848999999999997E-2</v>
      </c>
      <c r="I34" s="23"/>
    </row>
    <row r="35" spans="1:9" ht="12.9" customHeight="1">
      <c r="A35" s="17" t="s">
        <v>2976</v>
      </c>
      <c r="B35" s="18" t="s">
        <v>2977</v>
      </c>
      <c r="C35" s="14" t="s">
        <v>2978</v>
      </c>
      <c r="D35" s="14" t="s">
        <v>84</v>
      </c>
      <c r="E35" s="19">
        <v>7000000</v>
      </c>
      <c r="F35" s="20">
        <v>7087.1850000000004</v>
      </c>
      <c r="G35" s="21">
        <v>1.03E-2</v>
      </c>
      <c r="H35" s="22">
        <v>6.0024000000000001E-2</v>
      </c>
      <c r="I35" s="23"/>
    </row>
    <row r="36" spans="1:9" ht="12.9" customHeight="1">
      <c r="A36" s="17" t="s">
        <v>373</v>
      </c>
      <c r="B36" s="18" t="s">
        <v>374</v>
      </c>
      <c r="C36" s="14" t="s">
        <v>375</v>
      </c>
      <c r="D36" s="14" t="s">
        <v>372</v>
      </c>
      <c r="E36" s="19">
        <v>700</v>
      </c>
      <c r="F36" s="20">
        <v>7006.3</v>
      </c>
      <c r="G36" s="21">
        <v>1.0200000000000001E-2</v>
      </c>
      <c r="H36" s="22">
        <v>6.3E-2</v>
      </c>
      <c r="I36" s="23"/>
    </row>
    <row r="37" spans="1:9" ht="12.9" customHeight="1">
      <c r="A37" s="17" t="s">
        <v>2720</v>
      </c>
      <c r="B37" s="18" t="s">
        <v>2721</v>
      </c>
      <c r="C37" s="14" t="s">
        <v>2722</v>
      </c>
      <c r="D37" s="14" t="s">
        <v>895</v>
      </c>
      <c r="E37" s="19">
        <v>6000</v>
      </c>
      <c r="F37" s="20">
        <v>6027.6540000000005</v>
      </c>
      <c r="G37" s="21">
        <v>8.8000000000000005E-3</v>
      </c>
      <c r="H37" s="22">
        <v>7.2900999999999994E-2</v>
      </c>
      <c r="I37" s="23"/>
    </row>
    <row r="38" spans="1:9" ht="12.9" customHeight="1">
      <c r="A38" s="17" t="s">
        <v>2979</v>
      </c>
      <c r="B38" s="18" t="s">
        <v>2980</v>
      </c>
      <c r="C38" s="14" t="s">
        <v>2981</v>
      </c>
      <c r="D38" s="14" t="s">
        <v>109</v>
      </c>
      <c r="E38" s="19">
        <v>6000</v>
      </c>
      <c r="F38" s="20">
        <v>6022.0559999999996</v>
      </c>
      <c r="G38" s="21">
        <v>8.8000000000000005E-3</v>
      </c>
      <c r="H38" s="22">
        <v>7.0397000000000001E-2</v>
      </c>
      <c r="I38" s="23"/>
    </row>
    <row r="39" spans="1:9" ht="12.9" customHeight="1">
      <c r="A39" s="17" t="s">
        <v>1682</v>
      </c>
      <c r="B39" s="18" t="s">
        <v>1683</v>
      </c>
      <c r="C39" s="14" t="s">
        <v>1684</v>
      </c>
      <c r="D39" s="14" t="s">
        <v>1657</v>
      </c>
      <c r="E39" s="19">
        <v>5500</v>
      </c>
      <c r="F39" s="20">
        <v>5531.0365000000002</v>
      </c>
      <c r="G39" s="21">
        <v>8.0000000000000002E-3</v>
      </c>
      <c r="H39" s="22">
        <v>8.6150000000000004E-2</v>
      </c>
      <c r="I39" s="23"/>
    </row>
    <row r="40" spans="1:9" ht="12.9" customHeight="1">
      <c r="A40" s="17" t="s">
        <v>1629</v>
      </c>
      <c r="B40" s="18" t="s">
        <v>1630</v>
      </c>
      <c r="C40" s="14" t="s">
        <v>1631</v>
      </c>
      <c r="D40" s="14" t="s">
        <v>1504</v>
      </c>
      <c r="E40" s="19">
        <v>5500</v>
      </c>
      <c r="F40" s="20">
        <v>5518.183</v>
      </c>
      <c r="G40" s="21">
        <v>8.0000000000000002E-3</v>
      </c>
      <c r="H40" s="22">
        <v>8.5171999999999998E-2</v>
      </c>
      <c r="I40" s="23"/>
    </row>
    <row r="41" spans="1:9" ht="12.9" customHeight="1">
      <c r="A41" s="17" t="s">
        <v>2982</v>
      </c>
      <c r="B41" s="18" t="s">
        <v>2983</v>
      </c>
      <c r="C41" s="14" t="s">
        <v>2984</v>
      </c>
      <c r="D41" s="14" t="s">
        <v>895</v>
      </c>
      <c r="E41" s="19">
        <v>5000</v>
      </c>
      <c r="F41" s="20">
        <v>5057.9650000000001</v>
      </c>
      <c r="G41" s="21">
        <v>7.4000000000000003E-3</v>
      </c>
      <c r="H41" s="22">
        <v>7.4399999999999994E-2</v>
      </c>
      <c r="I41" s="23"/>
    </row>
    <row r="42" spans="1:9" ht="12.9" customHeight="1">
      <c r="A42" s="17" t="s">
        <v>2636</v>
      </c>
      <c r="B42" s="18" t="s">
        <v>2637</v>
      </c>
      <c r="C42" s="14" t="s">
        <v>2638</v>
      </c>
      <c r="D42" s="14" t="s">
        <v>372</v>
      </c>
      <c r="E42" s="19">
        <v>5000</v>
      </c>
      <c r="F42" s="20">
        <v>5052.7550000000001</v>
      </c>
      <c r="G42" s="21">
        <v>7.4000000000000003E-3</v>
      </c>
      <c r="H42" s="22">
        <v>6.8449999999999997E-2</v>
      </c>
      <c r="I42" s="23"/>
    </row>
    <row r="43" spans="1:9" ht="12.9" customHeight="1">
      <c r="A43" s="17" t="s">
        <v>2594</v>
      </c>
      <c r="B43" s="18" t="s">
        <v>2595</v>
      </c>
      <c r="C43" s="14" t="s">
        <v>2596</v>
      </c>
      <c r="D43" s="14" t="s">
        <v>109</v>
      </c>
      <c r="E43" s="19">
        <v>5000</v>
      </c>
      <c r="F43" s="20">
        <v>5022.91</v>
      </c>
      <c r="G43" s="21">
        <v>7.3000000000000001E-3</v>
      </c>
      <c r="H43" s="22">
        <v>7.0486999999999994E-2</v>
      </c>
      <c r="I43" s="23"/>
    </row>
    <row r="44" spans="1:9" ht="12.9" customHeight="1">
      <c r="A44" s="17" t="s">
        <v>1469</v>
      </c>
      <c r="B44" s="18" t="s">
        <v>1470</v>
      </c>
      <c r="C44" s="14" t="s">
        <v>1471</v>
      </c>
      <c r="D44" s="14" t="s">
        <v>109</v>
      </c>
      <c r="E44" s="19">
        <v>5000</v>
      </c>
      <c r="F44" s="20">
        <v>5019.3649999999998</v>
      </c>
      <c r="G44" s="21">
        <v>7.3000000000000001E-3</v>
      </c>
      <c r="H44" s="22">
        <v>6.7100000000000007E-2</v>
      </c>
      <c r="I44" s="23"/>
    </row>
    <row r="45" spans="1:9" ht="12.9" customHeight="1">
      <c r="A45" s="17" t="s">
        <v>2885</v>
      </c>
      <c r="B45" s="18" t="s">
        <v>2886</v>
      </c>
      <c r="C45" s="14" t="s">
        <v>2887</v>
      </c>
      <c r="D45" s="14" t="s">
        <v>109</v>
      </c>
      <c r="E45" s="19">
        <v>5000</v>
      </c>
      <c r="F45" s="20">
        <v>5018.38</v>
      </c>
      <c r="G45" s="21">
        <v>7.3000000000000001E-3</v>
      </c>
      <c r="H45" s="22">
        <v>6.7699999999999996E-2</v>
      </c>
      <c r="I45" s="23"/>
    </row>
    <row r="46" spans="1:9" ht="12.9" customHeight="1">
      <c r="A46" s="17" t="s">
        <v>2985</v>
      </c>
      <c r="B46" s="18" t="s">
        <v>2986</v>
      </c>
      <c r="C46" s="14" t="s">
        <v>2987</v>
      </c>
      <c r="D46" s="14" t="s">
        <v>2988</v>
      </c>
      <c r="E46" s="19">
        <v>5000</v>
      </c>
      <c r="F46" s="20">
        <v>5007.7550000000001</v>
      </c>
      <c r="G46" s="21">
        <v>7.3000000000000001E-3</v>
      </c>
      <c r="H46" s="22">
        <v>9.1511999999999996E-2</v>
      </c>
      <c r="I46" s="23"/>
    </row>
    <row r="47" spans="1:9" ht="12.9" customHeight="1">
      <c r="A47" s="17" t="s">
        <v>1561</v>
      </c>
      <c r="B47" s="18" t="s">
        <v>1562</v>
      </c>
      <c r="C47" s="14" t="s">
        <v>1563</v>
      </c>
      <c r="D47" s="14" t="s">
        <v>1437</v>
      </c>
      <c r="E47" s="19">
        <v>5000</v>
      </c>
      <c r="F47" s="20">
        <v>4993.7250000000004</v>
      </c>
      <c r="G47" s="21">
        <v>7.3000000000000001E-3</v>
      </c>
      <c r="H47" s="22">
        <v>8.7849999999999998E-2</v>
      </c>
      <c r="I47" s="23"/>
    </row>
    <row r="48" spans="1:9" ht="12.9" customHeight="1">
      <c r="A48" s="17" t="s">
        <v>2831</v>
      </c>
      <c r="B48" s="18" t="s">
        <v>2832</v>
      </c>
      <c r="C48" s="14" t="s">
        <v>2833</v>
      </c>
      <c r="D48" s="14" t="s">
        <v>109</v>
      </c>
      <c r="E48" s="19">
        <v>5000</v>
      </c>
      <c r="F48" s="20">
        <v>4990.62</v>
      </c>
      <c r="G48" s="21">
        <v>7.3000000000000001E-3</v>
      </c>
      <c r="H48" s="22">
        <v>7.7350000000000002E-2</v>
      </c>
      <c r="I48" s="23"/>
    </row>
    <row r="49" spans="1:9" ht="12.9" customHeight="1">
      <c r="A49" s="17" t="s">
        <v>2989</v>
      </c>
      <c r="B49" s="18" t="s">
        <v>2990</v>
      </c>
      <c r="C49" s="14" t="s">
        <v>2991</v>
      </c>
      <c r="D49" s="14" t="s">
        <v>1545</v>
      </c>
      <c r="E49" s="19">
        <v>4500</v>
      </c>
      <c r="F49" s="20">
        <v>4501.7730000000001</v>
      </c>
      <c r="G49" s="21">
        <v>6.4999999999999997E-3</v>
      </c>
      <c r="H49" s="22">
        <v>6.9000000000000006E-2</v>
      </c>
      <c r="I49" s="23"/>
    </row>
    <row r="50" spans="1:9" ht="12.9" customHeight="1">
      <c r="A50" s="17" t="s">
        <v>2992</v>
      </c>
      <c r="B50" s="18" t="s">
        <v>2993</v>
      </c>
      <c r="C50" s="14" t="s">
        <v>2994</v>
      </c>
      <c r="D50" s="14" t="s">
        <v>895</v>
      </c>
      <c r="E50" s="19">
        <v>4500</v>
      </c>
      <c r="F50" s="20">
        <v>4500.7425000000003</v>
      </c>
      <c r="G50" s="21">
        <v>6.4999999999999997E-3</v>
      </c>
      <c r="H50" s="22">
        <v>6.6385E-2</v>
      </c>
      <c r="I50" s="23"/>
    </row>
    <row r="51" spans="1:9" ht="12.9" customHeight="1">
      <c r="A51" s="17" t="s">
        <v>119</v>
      </c>
      <c r="B51" s="18" t="s">
        <v>120</v>
      </c>
      <c r="C51" s="14" t="s">
        <v>121</v>
      </c>
      <c r="D51" s="14" t="s">
        <v>109</v>
      </c>
      <c r="E51" s="19">
        <v>4000</v>
      </c>
      <c r="F51" s="20">
        <v>4008.5920000000001</v>
      </c>
      <c r="G51" s="21">
        <v>5.7999999999999996E-3</v>
      </c>
      <c r="H51" s="22">
        <v>6.3549999999999995E-2</v>
      </c>
      <c r="I51" s="23"/>
    </row>
    <row r="52" spans="1:9" ht="12.9" customHeight="1">
      <c r="A52" s="17" t="s">
        <v>2995</v>
      </c>
      <c r="B52" s="18" t="s">
        <v>2996</v>
      </c>
      <c r="C52" s="14" t="s">
        <v>2997</v>
      </c>
      <c r="D52" s="14" t="s">
        <v>895</v>
      </c>
      <c r="E52" s="19">
        <v>3500</v>
      </c>
      <c r="F52" s="20">
        <v>3508.9564999999998</v>
      </c>
      <c r="G52" s="21">
        <v>5.1000000000000004E-3</v>
      </c>
      <c r="H52" s="22">
        <v>7.1050000000000002E-2</v>
      </c>
      <c r="I52" s="23"/>
    </row>
    <row r="53" spans="1:9" ht="12.9" customHeight="1">
      <c r="A53" s="17" t="s">
        <v>2840</v>
      </c>
      <c r="B53" s="18" t="s">
        <v>2841</v>
      </c>
      <c r="C53" s="14" t="s">
        <v>2842</v>
      </c>
      <c r="D53" s="14" t="s">
        <v>109</v>
      </c>
      <c r="E53" s="19">
        <v>350</v>
      </c>
      <c r="F53" s="20">
        <v>3505.2150000000001</v>
      </c>
      <c r="G53" s="21">
        <v>5.1000000000000004E-3</v>
      </c>
      <c r="H53" s="22">
        <v>6.3600000000000004E-2</v>
      </c>
      <c r="I53" s="23"/>
    </row>
    <row r="54" spans="1:9" ht="12.9" customHeight="1">
      <c r="A54" s="17" t="s">
        <v>2998</v>
      </c>
      <c r="B54" s="18" t="s">
        <v>2999</v>
      </c>
      <c r="C54" s="14" t="s">
        <v>3000</v>
      </c>
      <c r="D54" s="14" t="s">
        <v>84</v>
      </c>
      <c r="E54" s="19">
        <v>3000000</v>
      </c>
      <c r="F54" s="20">
        <v>3009.0990000000002</v>
      </c>
      <c r="G54" s="21">
        <v>4.4000000000000003E-3</v>
      </c>
      <c r="H54" s="22">
        <v>5.4653E-2</v>
      </c>
      <c r="I54" s="23"/>
    </row>
    <row r="55" spans="1:9" ht="12.9" customHeight="1">
      <c r="A55" s="17" t="s">
        <v>3001</v>
      </c>
      <c r="B55" s="18" t="s">
        <v>3002</v>
      </c>
      <c r="C55" s="14" t="s">
        <v>3003</v>
      </c>
      <c r="D55" s="14" t="s">
        <v>895</v>
      </c>
      <c r="E55" s="19">
        <v>2500</v>
      </c>
      <c r="F55" s="20">
        <v>2544.2874999999999</v>
      </c>
      <c r="G55" s="21">
        <v>3.7000000000000002E-3</v>
      </c>
      <c r="H55" s="22">
        <v>7.5248999999999996E-2</v>
      </c>
      <c r="I55" s="23"/>
    </row>
    <row r="56" spans="1:9" ht="12.9" customHeight="1">
      <c r="A56" s="17" t="s">
        <v>2633</v>
      </c>
      <c r="B56" s="18" t="s">
        <v>2634</v>
      </c>
      <c r="C56" s="14" t="s">
        <v>2635</v>
      </c>
      <c r="D56" s="14" t="s">
        <v>895</v>
      </c>
      <c r="E56" s="19">
        <v>2500</v>
      </c>
      <c r="F56" s="20">
        <v>2534.1424999999999</v>
      </c>
      <c r="G56" s="21">
        <v>3.7000000000000002E-3</v>
      </c>
      <c r="H56" s="22">
        <v>7.3752999999999999E-2</v>
      </c>
      <c r="I56" s="23"/>
    </row>
    <row r="57" spans="1:9" ht="12.9" customHeight="1">
      <c r="A57" s="17" t="s">
        <v>1413</v>
      </c>
      <c r="B57" s="18" t="s">
        <v>1414</v>
      </c>
      <c r="C57" s="14" t="s">
        <v>1415</v>
      </c>
      <c r="D57" s="14" t="s">
        <v>895</v>
      </c>
      <c r="E57" s="19">
        <v>2500</v>
      </c>
      <c r="F57" s="20">
        <v>2533.3225000000002</v>
      </c>
      <c r="G57" s="21">
        <v>3.7000000000000002E-3</v>
      </c>
      <c r="H57" s="22">
        <v>7.8325000000000006E-2</v>
      </c>
      <c r="I57" s="23"/>
    </row>
    <row r="58" spans="1:9" ht="12.9" customHeight="1">
      <c r="A58" s="17" t="s">
        <v>3004</v>
      </c>
      <c r="B58" s="18" t="s">
        <v>3005</v>
      </c>
      <c r="C58" s="14" t="s">
        <v>3006</v>
      </c>
      <c r="D58" s="14" t="s">
        <v>895</v>
      </c>
      <c r="E58" s="19">
        <v>2500</v>
      </c>
      <c r="F58" s="20">
        <v>2511.9349999999999</v>
      </c>
      <c r="G58" s="21">
        <v>3.7000000000000002E-3</v>
      </c>
      <c r="H58" s="22">
        <v>7.4550000000000005E-2</v>
      </c>
      <c r="I58" s="23"/>
    </row>
    <row r="59" spans="1:9" ht="12.9" customHeight="1">
      <c r="A59" s="17" t="s">
        <v>1475</v>
      </c>
      <c r="B59" s="18" t="s">
        <v>1476</v>
      </c>
      <c r="C59" s="14" t="s">
        <v>1477</v>
      </c>
      <c r="D59" s="14" t="s">
        <v>109</v>
      </c>
      <c r="E59" s="19">
        <v>2500</v>
      </c>
      <c r="F59" s="20">
        <v>2511.6550000000002</v>
      </c>
      <c r="G59" s="21">
        <v>3.7000000000000002E-3</v>
      </c>
      <c r="H59" s="22">
        <v>6.8099999999999994E-2</v>
      </c>
      <c r="I59" s="23"/>
    </row>
    <row r="60" spans="1:9" ht="12.9" customHeight="1">
      <c r="A60" s="17" t="s">
        <v>529</v>
      </c>
      <c r="B60" s="18" t="s">
        <v>530</v>
      </c>
      <c r="C60" s="14" t="s">
        <v>531</v>
      </c>
      <c r="D60" s="14" t="s">
        <v>109</v>
      </c>
      <c r="E60" s="19">
        <v>2500</v>
      </c>
      <c r="F60" s="20">
        <v>2504.9924999999998</v>
      </c>
      <c r="G60" s="21">
        <v>3.5999999999999999E-3</v>
      </c>
      <c r="H60" s="22">
        <v>7.1473999999999996E-2</v>
      </c>
      <c r="I60" s="23"/>
    </row>
    <row r="61" spans="1:9" ht="12.9" customHeight="1">
      <c r="A61" s="17" t="s">
        <v>3007</v>
      </c>
      <c r="B61" s="18" t="s">
        <v>3008</v>
      </c>
      <c r="C61" s="14" t="s">
        <v>3009</v>
      </c>
      <c r="D61" s="14" t="s">
        <v>109</v>
      </c>
      <c r="E61" s="19">
        <v>250</v>
      </c>
      <c r="F61" s="20">
        <v>2498.7750000000001</v>
      </c>
      <c r="G61" s="21">
        <v>3.5999999999999999E-3</v>
      </c>
      <c r="H61" s="22">
        <v>7.0499999999999993E-2</v>
      </c>
      <c r="I61" s="23"/>
    </row>
    <row r="62" spans="1:9" ht="12.9" customHeight="1">
      <c r="A62" s="17" t="s">
        <v>3010</v>
      </c>
      <c r="B62" s="18" t="s">
        <v>3011</v>
      </c>
      <c r="C62" s="14" t="s">
        <v>3012</v>
      </c>
      <c r="D62" s="14" t="s">
        <v>895</v>
      </c>
      <c r="E62" s="19">
        <v>1900</v>
      </c>
      <c r="F62" s="20">
        <v>1922.7335</v>
      </c>
      <c r="G62" s="21">
        <v>2.8E-3</v>
      </c>
      <c r="H62" s="22">
        <v>7.2374999999999995E-2</v>
      </c>
      <c r="I62" s="23"/>
    </row>
    <row r="63" spans="1:9" ht="12.9" customHeight="1">
      <c r="A63" s="17" t="s">
        <v>3013</v>
      </c>
      <c r="B63" s="18" t="s">
        <v>3014</v>
      </c>
      <c r="C63" s="14" t="s">
        <v>3015</v>
      </c>
      <c r="D63" s="14" t="s">
        <v>1444</v>
      </c>
      <c r="E63" s="19">
        <v>1500</v>
      </c>
      <c r="F63" s="20">
        <v>1503.3585</v>
      </c>
      <c r="G63" s="21">
        <v>2.2000000000000001E-3</v>
      </c>
      <c r="H63" s="22">
        <v>7.2301000000000004E-2</v>
      </c>
      <c r="I63" s="23"/>
    </row>
    <row r="64" spans="1:9" ht="12.9" customHeight="1">
      <c r="A64" s="17" t="s">
        <v>3016</v>
      </c>
      <c r="B64" s="18" t="s">
        <v>3017</v>
      </c>
      <c r="C64" s="14" t="s">
        <v>3018</v>
      </c>
      <c r="D64" s="14" t="s">
        <v>84</v>
      </c>
      <c r="E64" s="19">
        <v>1000000</v>
      </c>
      <c r="F64" s="20">
        <v>1012.078</v>
      </c>
      <c r="G64" s="21">
        <v>1.5E-3</v>
      </c>
      <c r="H64" s="22">
        <v>5.756E-2</v>
      </c>
      <c r="I64" s="23"/>
    </row>
    <row r="65" spans="1:9" ht="12.9" customHeight="1">
      <c r="A65" s="17" t="s">
        <v>3019</v>
      </c>
      <c r="B65" s="18" t="s">
        <v>3020</v>
      </c>
      <c r="C65" s="14" t="s">
        <v>3021</v>
      </c>
      <c r="D65" s="14" t="s">
        <v>1545</v>
      </c>
      <c r="E65" s="19">
        <v>1000</v>
      </c>
      <c r="F65" s="20">
        <v>1001.88</v>
      </c>
      <c r="G65" s="21">
        <v>1.5E-3</v>
      </c>
      <c r="H65" s="22">
        <v>7.1249999999999994E-2</v>
      </c>
      <c r="I65" s="23"/>
    </row>
    <row r="66" spans="1:9" ht="12.9" customHeight="1">
      <c r="A66" s="17" t="s">
        <v>3022</v>
      </c>
      <c r="B66" s="18" t="s">
        <v>3023</v>
      </c>
      <c r="C66" s="14" t="s">
        <v>3024</v>
      </c>
      <c r="D66" s="14" t="s">
        <v>84</v>
      </c>
      <c r="E66" s="19">
        <v>500000</v>
      </c>
      <c r="F66" s="20">
        <v>510.27850000000001</v>
      </c>
      <c r="G66" s="21">
        <v>6.9999999999999999E-4</v>
      </c>
      <c r="H66" s="22">
        <v>6.0332999999999998E-2</v>
      </c>
      <c r="I66" s="23"/>
    </row>
    <row r="67" spans="1:9" ht="12.9" customHeight="1">
      <c r="A67" s="17" t="s">
        <v>3025</v>
      </c>
      <c r="B67" s="18" t="s">
        <v>3026</v>
      </c>
      <c r="C67" s="14" t="s">
        <v>3027</v>
      </c>
      <c r="D67" s="14" t="s">
        <v>84</v>
      </c>
      <c r="E67" s="19">
        <v>500000</v>
      </c>
      <c r="F67" s="20">
        <v>506.00200000000001</v>
      </c>
      <c r="G67" s="21">
        <v>6.9999999999999999E-4</v>
      </c>
      <c r="H67" s="22">
        <v>5.7779999999999998E-2</v>
      </c>
      <c r="I67" s="23"/>
    </row>
    <row r="68" spans="1:9" ht="12.9" customHeight="1">
      <c r="A68" s="17" t="s">
        <v>1654</v>
      </c>
      <c r="B68" s="18" t="s">
        <v>1655</v>
      </c>
      <c r="C68" s="14" t="s">
        <v>1656</v>
      </c>
      <c r="D68" s="14" t="s">
        <v>1657</v>
      </c>
      <c r="E68" s="19">
        <v>500</v>
      </c>
      <c r="F68" s="20">
        <v>501.1465</v>
      </c>
      <c r="G68" s="21">
        <v>6.9999999999999999E-4</v>
      </c>
      <c r="H68" s="22">
        <v>9.1544E-2</v>
      </c>
      <c r="I68" s="23"/>
    </row>
    <row r="69" spans="1:9" ht="12.9" customHeight="1">
      <c r="A69" s="17" t="s">
        <v>3028</v>
      </c>
      <c r="B69" s="18" t="s">
        <v>3029</v>
      </c>
      <c r="C69" s="14" t="s">
        <v>3030</v>
      </c>
      <c r="D69" s="14" t="s">
        <v>372</v>
      </c>
      <c r="E69" s="19">
        <v>500</v>
      </c>
      <c r="F69" s="20">
        <v>500.8415</v>
      </c>
      <c r="G69" s="21">
        <v>6.9999999999999999E-4</v>
      </c>
      <c r="H69" s="22">
        <v>7.0961999999999997E-2</v>
      </c>
      <c r="I69" s="23"/>
    </row>
    <row r="70" spans="1:9" ht="12.9" customHeight="1">
      <c r="A70" s="5"/>
      <c r="B70" s="13" t="s">
        <v>88</v>
      </c>
      <c r="C70" s="14"/>
      <c r="D70" s="14"/>
      <c r="E70" s="14"/>
      <c r="F70" s="24">
        <v>308940.38829999999</v>
      </c>
      <c r="G70" s="25">
        <v>0.44940000000000002</v>
      </c>
      <c r="H70" s="26"/>
      <c r="I70" s="27"/>
    </row>
    <row r="71" spans="1:9" ht="12.9" customHeight="1">
      <c r="A71" s="5"/>
      <c r="B71" s="28" t="s">
        <v>89</v>
      </c>
      <c r="C71" s="2"/>
      <c r="D71" s="2"/>
      <c r="E71" s="2"/>
      <c r="F71" s="26" t="s">
        <v>90</v>
      </c>
      <c r="G71" s="26" t="s">
        <v>90</v>
      </c>
      <c r="H71" s="26"/>
      <c r="I71" s="27"/>
    </row>
    <row r="72" spans="1:9" ht="12.9" customHeight="1">
      <c r="A72" s="5"/>
      <c r="B72" s="28" t="s">
        <v>88</v>
      </c>
      <c r="C72" s="2"/>
      <c r="D72" s="2"/>
      <c r="E72" s="2"/>
      <c r="F72" s="26" t="s">
        <v>90</v>
      </c>
      <c r="G72" s="26" t="s">
        <v>90</v>
      </c>
      <c r="H72" s="26"/>
      <c r="I72" s="27"/>
    </row>
    <row r="73" spans="1:9" ht="12.9" customHeight="1">
      <c r="A73" s="5"/>
      <c r="B73" s="28" t="s">
        <v>80</v>
      </c>
      <c r="C73" s="2"/>
      <c r="D73" s="2"/>
      <c r="E73" s="2"/>
      <c r="F73" s="26" t="s">
        <v>90</v>
      </c>
      <c r="G73" s="26" t="s">
        <v>90</v>
      </c>
      <c r="H73" s="43"/>
      <c r="I73" s="42"/>
    </row>
    <row r="74" spans="1:9" ht="12.9" customHeight="1">
      <c r="A74" s="5"/>
      <c r="B74" s="44" t="s">
        <v>88</v>
      </c>
      <c r="C74" s="45"/>
      <c r="D74" s="45"/>
      <c r="E74" s="45"/>
      <c r="F74" s="26" t="s">
        <v>90</v>
      </c>
      <c r="G74" s="26" t="s">
        <v>90</v>
      </c>
      <c r="H74" s="43"/>
      <c r="I74" s="42"/>
    </row>
    <row r="75" spans="1:9" ht="12.9" customHeight="1">
      <c r="A75" s="5"/>
      <c r="B75" s="13" t="s">
        <v>89</v>
      </c>
      <c r="C75" s="14"/>
      <c r="D75" s="14"/>
      <c r="E75" s="14"/>
      <c r="F75" s="5"/>
      <c r="G75" s="15"/>
      <c r="H75" s="15"/>
      <c r="I75" s="16"/>
    </row>
    <row r="76" spans="1:9" ht="12.9" customHeight="1">
      <c r="A76" s="17" t="s">
        <v>2909</v>
      </c>
      <c r="B76" s="18" t="s">
        <v>2910</v>
      </c>
      <c r="C76" s="14" t="s">
        <v>2911</v>
      </c>
      <c r="D76" s="14" t="s">
        <v>353</v>
      </c>
      <c r="E76" s="19">
        <v>250</v>
      </c>
      <c r="F76" s="20">
        <v>2508.7350000000001</v>
      </c>
      <c r="G76" s="21">
        <v>3.5999999999999999E-3</v>
      </c>
      <c r="H76" s="22">
        <v>7.1093000000000003E-2</v>
      </c>
      <c r="I76" s="23"/>
    </row>
    <row r="77" spans="1:9" ht="12.9" customHeight="1">
      <c r="A77" s="5"/>
      <c r="B77" s="13" t="s">
        <v>88</v>
      </c>
      <c r="C77" s="14"/>
      <c r="D77" s="14"/>
      <c r="E77" s="14"/>
      <c r="F77" s="24">
        <v>2508.7350000000001</v>
      </c>
      <c r="G77" s="25">
        <v>3.5999999999999999E-3</v>
      </c>
      <c r="H77" s="26"/>
      <c r="I77" s="27"/>
    </row>
    <row r="78" spans="1:9" ht="12.9" customHeight="1">
      <c r="A78" s="5"/>
      <c r="B78" s="13" t="s">
        <v>751</v>
      </c>
      <c r="C78" s="14"/>
      <c r="D78" s="14"/>
      <c r="E78" s="14"/>
      <c r="F78" s="5"/>
      <c r="G78" s="15"/>
      <c r="H78" s="15"/>
      <c r="I78" s="16"/>
    </row>
    <row r="79" spans="1:9" ht="12.9" customHeight="1">
      <c r="A79" s="17" t="s">
        <v>3031</v>
      </c>
      <c r="B79" s="18" t="s">
        <v>3032</v>
      </c>
      <c r="C79" s="14" t="s">
        <v>3033</v>
      </c>
      <c r="D79" s="14" t="s">
        <v>755</v>
      </c>
      <c r="E79" s="19">
        <v>1157</v>
      </c>
      <c r="F79" s="20">
        <v>7133.5847999999996</v>
      </c>
      <c r="G79" s="21">
        <v>1.04E-2</v>
      </c>
      <c r="H79" s="22">
        <v>9.2499999999999999E-2</v>
      </c>
      <c r="I79" s="23"/>
    </row>
    <row r="80" spans="1:9" ht="12.9" customHeight="1">
      <c r="A80" s="17" t="s">
        <v>2912</v>
      </c>
      <c r="B80" s="18" t="s">
        <v>2913</v>
      </c>
      <c r="C80" s="14" t="s">
        <v>2914</v>
      </c>
      <c r="D80" s="14" t="s">
        <v>755</v>
      </c>
      <c r="E80" s="19">
        <v>90</v>
      </c>
      <c r="F80" s="20">
        <v>7104.6169</v>
      </c>
      <c r="G80" s="21">
        <v>1.03E-2</v>
      </c>
      <c r="H80" s="22">
        <v>9.2850000000000002E-2</v>
      </c>
      <c r="I80" s="23"/>
    </row>
    <row r="81" spans="1:9" ht="12.9" customHeight="1">
      <c r="A81" s="17" t="s">
        <v>2789</v>
      </c>
      <c r="B81" s="18" t="s">
        <v>2790</v>
      </c>
      <c r="C81" s="14" t="s">
        <v>2791</v>
      </c>
      <c r="D81" s="14" t="s">
        <v>755</v>
      </c>
      <c r="E81" s="19">
        <v>500000000</v>
      </c>
      <c r="F81" s="20">
        <v>5004.5</v>
      </c>
      <c r="G81" s="21">
        <v>7.3000000000000001E-3</v>
      </c>
      <c r="H81" s="22">
        <v>8.7999999999999995E-2</v>
      </c>
      <c r="I81" s="23"/>
    </row>
    <row r="82" spans="1:9" ht="12.9" customHeight="1">
      <c r="A82" s="17" t="s">
        <v>2915</v>
      </c>
      <c r="B82" s="18" t="s">
        <v>2916</v>
      </c>
      <c r="C82" s="14" t="s">
        <v>2917</v>
      </c>
      <c r="D82" s="14" t="s">
        <v>755</v>
      </c>
      <c r="E82" s="19">
        <v>85</v>
      </c>
      <c r="F82" s="20">
        <v>3451.518</v>
      </c>
      <c r="G82" s="21">
        <v>5.0000000000000001E-3</v>
      </c>
      <c r="H82" s="22">
        <v>7.4099999999999999E-2</v>
      </c>
      <c r="I82" s="23"/>
    </row>
    <row r="83" spans="1:9" ht="12.9" customHeight="1">
      <c r="A83" s="17" t="s">
        <v>2798</v>
      </c>
      <c r="B83" s="18" t="s">
        <v>2799</v>
      </c>
      <c r="C83" s="14" t="s">
        <v>2800</v>
      </c>
      <c r="D83" s="14" t="s">
        <v>1203</v>
      </c>
      <c r="E83" s="19">
        <v>100</v>
      </c>
      <c r="F83" s="20">
        <v>3029.2062000000001</v>
      </c>
      <c r="G83" s="21">
        <v>4.4000000000000003E-3</v>
      </c>
      <c r="H83" s="22">
        <v>7.3800000000000004E-2</v>
      </c>
      <c r="I83" s="23"/>
    </row>
    <row r="84" spans="1:9" ht="12.9" customHeight="1">
      <c r="A84" s="17" t="s">
        <v>2792</v>
      </c>
      <c r="B84" s="18" t="s">
        <v>2793</v>
      </c>
      <c r="C84" s="14" t="s">
        <v>2794</v>
      </c>
      <c r="D84" s="14" t="s">
        <v>755</v>
      </c>
      <c r="E84" s="19">
        <v>500000000</v>
      </c>
      <c r="F84" s="20">
        <v>2101.5</v>
      </c>
      <c r="G84" s="21">
        <v>3.0999999999999999E-3</v>
      </c>
      <c r="H84" s="22">
        <v>8.6400000000000005E-2</v>
      </c>
      <c r="I84" s="23"/>
    </row>
    <row r="85" spans="1:9" ht="12.9" customHeight="1">
      <c r="A85" s="5"/>
      <c r="B85" s="13" t="s">
        <v>88</v>
      </c>
      <c r="C85" s="14"/>
      <c r="D85" s="14"/>
      <c r="E85" s="14"/>
      <c r="F85" s="24">
        <v>27824.925999999999</v>
      </c>
      <c r="G85" s="25">
        <v>4.0500000000000001E-2</v>
      </c>
      <c r="H85" s="26"/>
      <c r="I85" s="27"/>
    </row>
    <row r="86" spans="1:9" ht="12.9" customHeight="1">
      <c r="A86" s="5"/>
      <c r="B86" s="28" t="s">
        <v>91</v>
      </c>
      <c r="C86" s="29"/>
      <c r="D86" s="2"/>
      <c r="E86" s="29"/>
      <c r="F86" s="24">
        <v>339274.04930000001</v>
      </c>
      <c r="G86" s="25">
        <v>0.49359999999999998</v>
      </c>
      <c r="H86" s="26"/>
      <c r="I86" s="27"/>
    </row>
    <row r="87" spans="1:9" ht="12.9" customHeight="1">
      <c r="A87" s="5"/>
      <c r="B87" s="13" t="s">
        <v>311</v>
      </c>
      <c r="C87" s="14"/>
      <c r="D87" s="14"/>
      <c r="E87" s="14"/>
      <c r="F87" s="14"/>
      <c r="G87" s="14"/>
      <c r="H87" s="15"/>
      <c r="I87" s="16"/>
    </row>
    <row r="88" spans="1:9" ht="12.9" customHeight="1">
      <c r="A88" s="5"/>
      <c r="B88" s="13" t="s">
        <v>762</v>
      </c>
      <c r="C88" s="14"/>
      <c r="D88" s="14"/>
      <c r="E88" s="14"/>
      <c r="F88" s="5"/>
      <c r="G88" s="15"/>
      <c r="H88" s="15"/>
      <c r="I88" s="16"/>
    </row>
    <row r="89" spans="1:9" ht="12.9" customHeight="1">
      <c r="A89" s="17" t="s">
        <v>3034</v>
      </c>
      <c r="B89" s="18" t="s">
        <v>3035</v>
      </c>
      <c r="C89" s="14" t="s">
        <v>3036</v>
      </c>
      <c r="D89" s="14" t="s">
        <v>770</v>
      </c>
      <c r="E89" s="19">
        <v>5000</v>
      </c>
      <c r="F89" s="20">
        <v>24597.95</v>
      </c>
      <c r="G89" s="21">
        <v>3.5799999999999998E-2</v>
      </c>
      <c r="H89" s="22">
        <v>6.0876E-2</v>
      </c>
      <c r="I89" s="23"/>
    </row>
    <row r="90" spans="1:9" ht="12.9" customHeight="1">
      <c r="A90" s="17" t="s">
        <v>2168</v>
      </c>
      <c r="B90" s="18" t="s">
        <v>2169</v>
      </c>
      <c r="C90" s="14" t="s">
        <v>2170</v>
      </c>
      <c r="D90" s="14" t="s">
        <v>766</v>
      </c>
      <c r="E90" s="19">
        <v>5000</v>
      </c>
      <c r="F90" s="20">
        <v>24339.025000000001</v>
      </c>
      <c r="G90" s="21">
        <v>3.5400000000000001E-2</v>
      </c>
      <c r="H90" s="22">
        <v>6.3950000000000007E-2</v>
      </c>
      <c r="I90" s="23"/>
    </row>
    <row r="91" spans="1:9" ht="12.9" customHeight="1">
      <c r="A91" s="17" t="s">
        <v>2147</v>
      </c>
      <c r="B91" s="18" t="s">
        <v>2148</v>
      </c>
      <c r="C91" s="14" t="s">
        <v>2149</v>
      </c>
      <c r="D91" s="14" t="s">
        <v>1583</v>
      </c>
      <c r="E91" s="19">
        <v>4000</v>
      </c>
      <c r="F91" s="20">
        <v>19418.46</v>
      </c>
      <c r="G91" s="21">
        <v>2.8199999999999999E-2</v>
      </c>
      <c r="H91" s="22">
        <v>6.4300999999999997E-2</v>
      </c>
      <c r="I91" s="23"/>
    </row>
    <row r="92" spans="1:9" ht="12.9" customHeight="1">
      <c r="A92" s="17" t="s">
        <v>2180</v>
      </c>
      <c r="B92" s="18" t="s">
        <v>2181</v>
      </c>
      <c r="C92" s="14" t="s">
        <v>2182</v>
      </c>
      <c r="D92" s="14" t="s">
        <v>770</v>
      </c>
      <c r="E92" s="19">
        <v>3300</v>
      </c>
      <c r="F92" s="20">
        <v>16235.2575</v>
      </c>
      <c r="G92" s="21">
        <v>2.3599999999999999E-2</v>
      </c>
      <c r="H92" s="22">
        <v>6.0735999999999998E-2</v>
      </c>
      <c r="I92" s="23"/>
    </row>
    <row r="93" spans="1:9" ht="12.9" customHeight="1">
      <c r="A93" s="17" t="s">
        <v>2159</v>
      </c>
      <c r="B93" s="18" t="s">
        <v>2160</v>
      </c>
      <c r="C93" s="14" t="s">
        <v>2161</v>
      </c>
      <c r="D93" s="14" t="s">
        <v>770</v>
      </c>
      <c r="E93" s="19">
        <v>3000</v>
      </c>
      <c r="F93" s="20">
        <v>14908.875</v>
      </c>
      <c r="G93" s="21">
        <v>2.1700000000000001E-2</v>
      </c>
      <c r="H93" s="22">
        <v>6.3745999999999997E-2</v>
      </c>
      <c r="I93" s="23"/>
    </row>
    <row r="94" spans="1:9" ht="12.9" customHeight="1">
      <c r="A94" s="17" t="s">
        <v>1800</v>
      </c>
      <c r="B94" s="18" t="s">
        <v>1801</v>
      </c>
      <c r="C94" s="14" t="s">
        <v>1802</v>
      </c>
      <c r="D94" s="14" t="s">
        <v>1583</v>
      </c>
      <c r="E94" s="19">
        <v>3000</v>
      </c>
      <c r="F94" s="20">
        <v>14817.45</v>
      </c>
      <c r="G94" s="21">
        <v>2.1600000000000001E-2</v>
      </c>
      <c r="H94" s="22">
        <v>6.1601000000000003E-2</v>
      </c>
      <c r="I94" s="23"/>
    </row>
    <row r="95" spans="1:9" ht="12.9" customHeight="1">
      <c r="A95" s="17" t="s">
        <v>1875</v>
      </c>
      <c r="B95" s="18" t="s">
        <v>1876</v>
      </c>
      <c r="C95" s="14" t="s">
        <v>1877</v>
      </c>
      <c r="D95" s="14" t="s">
        <v>770</v>
      </c>
      <c r="E95" s="19">
        <v>3000</v>
      </c>
      <c r="F95" s="20">
        <v>14792.01</v>
      </c>
      <c r="G95" s="21">
        <v>2.1499999999999998E-2</v>
      </c>
      <c r="H95" s="22">
        <v>6.1099000000000001E-2</v>
      </c>
      <c r="I95" s="23"/>
    </row>
    <row r="96" spans="1:9" ht="12.9" customHeight="1">
      <c r="A96" s="17" t="s">
        <v>2165</v>
      </c>
      <c r="B96" s="18" t="s">
        <v>2166</v>
      </c>
      <c r="C96" s="14" t="s">
        <v>2167</v>
      </c>
      <c r="D96" s="14" t="s">
        <v>770</v>
      </c>
      <c r="E96" s="19">
        <v>3000</v>
      </c>
      <c r="F96" s="20">
        <v>14609.295</v>
      </c>
      <c r="G96" s="21">
        <v>2.1299999999999999E-2</v>
      </c>
      <c r="H96" s="22">
        <v>6.3799999999999996E-2</v>
      </c>
      <c r="I96" s="23"/>
    </row>
    <row r="97" spans="1:9" ht="12.9" customHeight="1">
      <c r="A97" s="17" t="s">
        <v>2237</v>
      </c>
      <c r="B97" s="18" t="s">
        <v>2238</v>
      </c>
      <c r="C97" s="14" t="s">
        <v>2239</v>
      </c>
      <c r="D97" s="14" t="s">
        <v>770</v>
      </c>
      <c r="E97" s="19">
        <v>3000</v>
      </c>
      <c r="F97" s="20">
        <v>14580.72</v>
      </c>
      <c r="G97" s="21">
        <v>2.12E-2</v>
      </c>
      <c r="H97" s="22">
        <v>6.3999E-2</v>
      </c>
      <c r="I97" s="23"/>
    </row>
    <row r="98" spans="1:9" ht="12.9" customHeight="1">
      <c r="A98" s="17" t="s">
        <v>2186</v>
      </c>
      <c r="B98" s="18" t="s">
        <v>2187</v>
      </c>
      <c r="C98" s="14" t="s">
        <v>2188</v>
      </c>
      <c r="D98" s="14" t="s">
        <v>770</v>
      </c>
      <c r="E98" s="19">
        <v>3000</v>
      </c>
      <c r="F98" s="20">
        <v>14335.77</v>
      </c>
      <c r="G98" s="21">
        <v>2.0899999999999998E-2</v>
      </c>
      <c r="H98" s="22">
        <v>6.5549999999999997E-2</v>
      </c>
      <c r="I98" s="23"/>
    </row>
    <row r="99" spans="1:9" ht="12.9" customHeight="1">
      <c r="A99" s="17" t="s">
        <v>2216</v>
      </c>
      <c r="B99" s="18" t="s">
        <v>2217</v>
      </c>
      <c r="C99" s="14" t="s">
        <v>2218</v>
      </c>
      <c r="D99" s="14" t="s">
        <v>1583</v>
      </c>
      <c r="E99" s="19">
        <v>3000</v>
      </c>
      <c r="F99" s="20">
        <v>14143.83</v>
      </c>
      <c r="G99" s="21">
        <v>2.06E-2</v>
      </c>
      <c r="H99" s="22">
        <v>6.6549999999999998E-2</v>
      </c>
      <c r="I99" s="23"/>
    </row>
    <row r="100" spans="1:9" ht="12.9" customHeight="1">
      <c r="A100" s="17" t="s">
        <v>1872</v>
      </c>
      <c r="B100" s="18" t="s">
        <v>1873</v>
      </c>
      <c r="C100" s="14" t="s">
        <v>1874</v>
      </c>
      <c r="D100" s="14" t="s">
        <v>770</v>
      </c>
      <c r="E100" s="19">
        <v>2000</v>
      </c>
      <c r="F100" s="20">
        <v>9893.66</v>
      </c>
      <c r="G100" s="21">
        <v>1.44E-2</v>
      </c>
      <c r="H100" s="22">
        <v>6.1298999999999999E-2</v>
      </c>
      <c r="I100" s="23"/>
    </row>
    <row r="101" spans="1:9" ht="12.9" customHeight="1">
      <c r="A101" s="17" t="s">
        <v>3037</v>
      </c>
      <c r="B101" s="18" t="s">
        <v>3038</v>
      </c>
      <c r="C101" s="14" t="s">
        <v>3039</v>
      </c>
      <c r="D101" s="14" t="s">
        <v>770</v>
      </c>
      <c r="E101" s="19">
        <v>2000</v>
      </c>
      <c r="F101" s="20">
        <v>9854.65</v>
      </c>
      <c r="G101" s="21">
        <v>1.43E-2</v>
      </c>
      <c r="H101" s="22">
        <v>6.2599000000000002E-2</v>
      </c>
      <c r="I101" s="23"/>
    </row>
    <row r="102" spans="1:9" ht="12.9" customHeight="1">
      <c r="A102" s="17" t="s">
        <v>3040</v>
      </c>
      <c r="B102" s="18" t="s">
        <v>3041</v>
      </c>
      <c r="C102" s="14" t="s">
        <v>3042</v>
      </c>
      <c r="D102" s="14" t="s">
        <v>770</v>
      </c>
      <c r="E102" s="19">
        <v>2000</v>
      </c>
      <c r="F102" s="20">
        <v>9845.9599999999991</v>
      </c>
      <c r="G102" s="21">
        <v>1.43E-2</v>
      </c>
      <c r="H102" s="22">
        <v>6.0750999999999999E-2</v>
      </c>
      <c r="I102" s="23"/>
    </row>
    <row r="103" spans="1:9" ht="12.9" customHeight="1">
      <c r="A103" s="17" t="s">
        <v>3043</v>
      </c>
      <c r="B103" s="18" t="s">
        <v>3044</v>
      </c>
      <c r="C103" s="14" t="s">
        <v>3045</v>
      </c>
      <c r="D103" s="14" t="s">
        <v>770</v>
      </c>
      <c r="E103" s="19">
        <v>2000</v>
      </c>
      <c r="F103" s="20">
        <v>9837.5400000000009</v>
      </c>
      <c r="G103" s="21">
        <v>1.43E-2</v>
      </c>
      <c r="H103" s="22">
        <v>6.0886000000000003E-2</v>
      </c>
      <c r="I103" s="23"/>
    </row>
    <row r="104" spans="1:9" ht="12.9" customHeight="1">
      <c r="A104" s="17" t="s">
        <v>2210</v>
      </c>
      <c r="B104" s="18" t="s">
        <v>2211</v>
      </c>
      <c r="C104" s="14" t="s">
        <v>2212</v>
      </c>
      <c r="D104" s="14" t="s">
        <v>770</v>
      </c>
      <c r="E104" s="19">
        <v>2000</v>
      </c>
      <c r="F104" s="20">
        <v>9769.4699999999993</v>
      </c>
      <c r="G104" s="21">
        <v>1.4200000000000001E-2</v>
      </c>
      <c r="H104" s="22">
        <v>6.3799999999999996E-2</v>
      </c>
      <c r="I104" s="23"/>
    </row>
    <row r="105" spans="1:9" ht="12.9" customHeight="1">
      <c r="A105" s="17" t="s">
        <v>1590</v>
      </c>
      <c r="B105" s="18" t="s">
        <v>1591</v>
      </c>
      <c r="C105" s="14" t="s">
        <v>1592</v>
      </c>
      <c r="D105" s="14" t="s">
        <v>1583</v>
      </c>
      <c r="E105" s="19">
        <v>1500</v>
      </c>
      <c r="F105" s="20">
        <v>7386.8924999999999</v>
      </c>
      <c r="G105" s="21">
        <v>1.0699999999999999E-2</v>
      </c>
      <c r="H105" s="22">
        <v>6.0749999999999998E-2</v>
      </c>
      <c r="I105" s="23"/>
    </row>
    <row r="106" spans="1:9" ht="12.9" customHeight="1">
      <c r="A106" s="17" t="s">
        <v>1605</v>
      </c>
      <c r="B106" s="18" t="s">
        <v>1606</v>
      </c>
      <c r="C106" s="14" t="s">
        <v>1607</v>
      </c>
      <c r="D106" s="14" t="s">
        <v>770</v>
      </c>
      <c r="E106" s="19">
        <v>1000</v>
      </c>
      <c r="F106" s="20">
        <v>4929.5</v>
      </c>
      <c r="G106" s="21">
        <v>7.1999999999999998E-3</v>
      </c>
      <c r="H106" s="22">
        <v>6.0699000000000003E-2</v>
      </c>
      <c r="I106" s="23"/>
    </row>
    <row r="107" spans="1:9" ht="12.9" customHeight="1">
      <c r="A107" s="17" t="s">
        <v>780</v>
      </c>
      <c r="B107" s="18" t="s">
        <v>781</v>
      </c>
      <c r="C107" s="14" t="s">
        <v>782</v>
      </c>
      <c r="D107" s="14" t="s">
        <v>770</v>
      </c>
      <c r="E107" s="19">
        <v>1000</v>
      </c>
      <c r="F107" s="20">
        <v>4924.5950000000003</v>
      </c>
      <c r="G107" s="21">
        <v>7.1999999999999998E-3</v>
      </c>
      <c r="H107" s="22">
        <v>6.0749999999999998E-2</v>
      </c>
      <c r="I107" s="23"/>
    </row>
    <row r="108" spans="1:9" ht="12.9" customHeight="1">
      <c r="A108" s="17" t="s">
        <v>2138</v>
      </c>
      <c r="B108" s="18" t="s">
        <v>2139</v>
      </c>
      <c r="C108" s="14" t="s">
        <v>2140</v>
      </c>
      <c r="D108" s="14" t="s">
        <v>770</v>
      </c>
      <c r="E108" s="19">
        <v>900</v>
      </c>
      <c r="F108" s="20">
        <v>4427.0550000000003</v>
      </c>
      <c r="G108" s="21">
        <v>6.4000000000000003E-3</v>
      </c>
      <c r="H108" s="22">
        <v>6.0750999999999999E-2</v>
      </c>
      <c r="I108" s="23"/>
    </row>
    <row r="109" spans="1:9" ht="12.9" customHeight="1">
      <c r="A109" s="17" t="s">
        <v>2219</v>
      </c>
      <c r="B109" s="18" t="s">
        <v>2220</v>
      </c>
      <c r="C109" s="14" t="s">
        <v>2221</v>
      </c>
      <c r="D109" s="14" t="s">
        <v>766</v>
      </c>
      <c r="E109" s="19">
        <v>500</v>
      </c>
      <c r="F109" s="20">
        <v>2464.4625000000001</v>
      </c>
      <c r="G109" s="21">
        <v>3.5999999999999999E-3</v>
      </c>
      <c r="H109" s="22">
        <v>6.0499999999999998E-2</v>
      </c>
      <c r="I109" s="23"/>
    </row>
    <row r="110" spans="1:9" ht="12.9" customHeight="1">
      <c r="A110" s="17" t="s">
        <v>3046</v>
      </c>
      <c r="B110" s="18" t="s">
        <v>3047</v>
      </c>
      <c r="C110" s="14" t="s">
        <v>3048</v>
      </c>
      <c r="D110" s="14" t="s">
        <v>766</v>
      </c>
      <c r="E110" s="19">
        <v>400</v>
      </c>
      <c r="F110" s="20">
        <v>1975.798</v>
      </c>
      <c r="G110" s="21">
        <v>2.8999999999999998E-3</v>
      </c>
      <c r="H110" s="22">
        <v>6.1248999999999998E-2</v>
      </c>
      <c r="I110" s="23"/>
    </row>
    <row r="111" spans="1:9" ht="12.9" customHeight="1">
      <c r="A111" s="5"/>
      <c r="B111" s="13" t="s">
        <v>88</v>
      </c>
      <c r="C111" s="14"/>
      <c r="D111" s="14"/>
      <c r="E111" s="14"/>
      <c r="F111" s="24">
        <v>262088.2255</v>
      </c>
      <c r="G111" s="25">
        <v>0.38129999999999997</v>
      </c>
      <c r="H111" s="26"/>
      <c r="I111" s="27"/>
    </row>
    <row r="112" spans="1:9" ht="12.9" customHeight="1">
      <c r="A112" s="5"/>
      <c r="B112" s="13" t="s">
        <v>1481</v>
      </c>
      <c r="C112" s="14"/>
      <c r="D112" s="14"/>
      <c r="E112" s="14"/>
      <c r="F112" s="5"/>
      <c r="G112" s="15"/>
      <c r="H112" s="15"/>
      <c r="I112" s="16"/>
    </row>
    <row r="113" spans="1:9" ht="12.9" customHeight="1">
      <c r="A113" s="17" t="s">
        <v>2040</v>
      </c>
      <c r="B113" s="18" t="s">
        <v>2041</v>
      </c>
      <c r="C113" s="14" t="s">
        <v>2042</v>
      </c>
      <c r="D113" s="14" t="s">
        <v>770</v>
      </c>
      <c r="E113" s="19">
        <v>2500</v>
      </c>
      <c r="F113" s="20">
        <v>12329.7875</v>
      </c>
      <c r="G113" s="21">
        <v>1.7899999999999999E-2</v>
      </c>
      <c r="H113" s="22">
        <v>6.6299999999999998E-2</v>
      </c>
      <c r="I113" s="23"/>
    </row>
    <row r="114" spans="1:9" ht="12.9" customHeight="1">
      <c r="A114" s="17" t="s">
        <v>3049</v>
      </c>
      <c r="B114" s="18" t="s">
        <v>3050</v>
      </c>
      <c r="C114" s="14" t="s">
        <v>3051</v>
      </c>
      <c r="D114" s="14" t="s">
        <v>770</v>
      </c>
      <c r="E114" s="19">
        <v>2000</v>
      </c>
      <c r="F114" s="20">
        <v>9897.41</v>
      </c>
      <c r="G114" s="21">
        <v>1.44E-2</v>
      </c>
      <c r="H114" s="22">
        <v>6.4128000000000004E-2</v>
      </c>
      <c r="I114" s="23"/>
    </row>
    <row r="115" spans="1:9" ht="12.9" customHeight="1">
      <c r="A115" s="17" t="s">
        <v>3052</v>
      </c>
      <c r="B115" s="18" t="s">
        <v>3053</v>
      </c>
      <c r="C115" s="14" t="s">
        <v>3054</v>
      </c>
      <c r="D115" s="14" t="s">
        <v>770</v>
      </c>
      <c r="E115" s="19">
        <v>2000</v>
      </c>
      <c r="F115" s="20">
        <v>9697.58</v>
      </c>
      <c r="G115" s="21">
        <v>1.41E-2</v>
      </c>
      <c r="H115" s="22">
        <v>7.2499999999999995E-2</v>
      </c>
      <c r="I115" s="23"/>
    </row>
    <row r="116" spans="1:9" ht="12.9" customHeight="1">
      <c r="A116" s="17" t="s">
        <v>2372</v>
      </c>
      <c r="B116" s="18" t="s">
        <v>2373</v>
      </c>
      <c r="C116" s="14" t="s">
        <v>2374</v>
      </c>
      <c r="D116" s="14" t="s">
        <v>770</v>
      </c>
      <c r="E116" s="19">
        <v>1500</v>
      </c>
      <c r="F116" s="20">
        <v>7497.5474999999997</v>
      </c>
      <c r="G116" s="21">
        <v>1.09E-2</v>
      </c>
      <c r="H116" s="22">
        <v>5.9788000000000001E-2</v>
      </c>
      <c r="I116" s="23"/>
    </row>
    <row r="117" spans="1:9" ht="12.9" customHeight="1">
      <c r="A117" s="17" t="s">
        <v>3055</v>
      </c>
      <c r="B117" s="18" t="s">
        <v>3056</v>
      </c>
      <c r="C117" s="14" t="s">
        <v>3057</v>
      </c>
      <c r="D117" s="14" t="s">
        <v>770</v>
      </c>
      <c r="E117" s="19">
        <v>1000</v>
      </c>
      <c r="F117" s="20">
        <v>4863.8500000000004</v>
      </c>
      <c r="G117" s="21">
        <v>7.1000000000000004E-3</v>
      </c>
      <c r="H117" s="22">
        <v>7.145E-2</v>
      </c>
      <c r="I117" s="23"/>
    </row>
    <row r="118" spans="1:9" ht="12.9" customHeight="1">
      <c r="A118" s="5"/>
      <c r="B118" s="13" t="s">
        <v>88</v>
      </c>
      <c r="C118" s="14"/>
      <c r="D118" s="14"/>
      <c r="E118" s="14"/>
      <c r="F118" s="24">
        <v>44286.175000000003</v>
      </c>
      <c r="G118" s="25">
        <v>6.4399999999999999E-2</v>
      </c>
      <c r="H118" s="26"/>
      <c r="I118" s="27"/>
    </row>
    <row r="119" spans="1:9" ht="12.9" customHeight="1">
      <c r="A119" s="5"/>
      <c r="B119" s="13" t="s">
        <v>312</v>
      </c>
      <c r="C119" s="14"/>
      <c r="D119" s="14"/>
      <c r="E119" s="14"/>
      <c r="F119" s="5"/>
      <c r="G119" s="15"/>
      <c r="H119" s="15"/>
      <c r="I119" s="16"/>
    </row>
    <row r="120" spans="1:9" ht="12.9" customHeight="1">
      <c r="A120" s="17" t="s">
        <v>1567</v>
      </c>
      <c r="B120" s="18" t="s">
        <v>1568</v>
      </c>
      <c r="C120" s="14" t="s">
        <v>1569</v>
      </c>
      <c r="D120" s="14" t="s">
        <v>84</v>
      </c>
      <c r="E120" s="19">
        <v>25000000</v>
      </c>
      <c r="F120" s="20">
        <v>24507.15</v>
      </c>
      <c r="G120" s="21">
        <v>3.5700000000000003E-2</v>
      </c>
      <c r="H120" s="22">
        <v>5.4373999999999999E-2</v>
      </c>
      <c r="I120" s="23"/>
    </row>
    <row r="121" spans="1:9" ht="12.9" customHeight="1">
      <c r="A121" s="17" t="s">
        <v>3058</v>
      </c>
      <c r="B121" s="18" t="s">
        <v>3059</v>
      </c>
      <c r="C121" s="14" t="s">
        <v>3060</v>
      </c>
      <c r="D121" s="14" t="s">
        <v>84</v>
      </c>
      <c r="E121" s="19">
        <v>2500000</v>
      </c>
      <c r="F121" s="20">
        <v>2496.7525000000001</v>
      </c>
      <c r="G121" s="21">
        <v>3.5999999999999999E-3</v>
      </c>
      <c r="H121" s="22">
        <v>5.2770999999999998E-2</v>
      </c>
      <c r="I121" s="23"/>
    </row>
    <row r="122" spans="1:9" ht="12.9" customHeight="1">
      <c r="A122" s="5"/>
      <c r="B122" s="13" t="s">
        <v>88</v>
      </c>
      <c r="C122" s="14"/>
      <c r="D122" s="14"/>
      <c r="E122" s="14"/>
      <c r="F122" s="24">
        <v>27003.9025</v>
      </c>
      <c r="G122" s="25">
        <v>3.9300000000000002E-2</v>
      </c>
      <c r="H122" s="26"/>
      <c r="I122" s="27"/>
    </row>
    <row r="123" spans="1:9" ht="12.9" customHeight="1">
      <c r="A123" s="5"/>
      <c r="B123" s="28" t="s">
        <v>91</v>
      </c>
      <c r="C123" s="29"/>
      <c r="D123" s="2"/>
      <c r="E123" s="29"/>
      <c r="F123" s="24">
        <v>333378.30300000001</v>
      </c>
      <c r="G123" s="25">
        <v>0.48499999999999999</v>
      </c>
      <c r="H123" s="26"/>
      <c r="I123" s="27"/>
    </row>
    <row r="124" spans="1:9" ht="12.9" customHeight="1">
      <c r="A124" s="5"/>
      <c r="B124" s="13" t="s">
        <v>285</v>
      </c>
      <c r="C124" s="14"/>
      <c r="D124" s="14"/>
      <c r="E124" s="14"/>
      <c r="F124" s="14"/>
      <c r="G124" s="14"/>
      <c r="H124" s="15"/>
      <c r="I124" s="16"/>
    </row>
    <row r="125" spans="1:9" ht="12.9" customHeight="1">
      <c r="A125" s="5"/>
      <c r="B125" s="13" t="s">
        <v>789</v>
      </c>
      <c r="C125" s="14"/>
      <c r="D125" s="14"/>
      <c r="E125" s="14"/>
      <c r="F125" s="5"/>
      <c r="G125" s="15"/>
      <c r="H125" s="15"/>
      <c r="I125" s="16"/>
    </row>
    <row r="126" spans="1:9" ht="12.9" customHeight="1">
      <c r="A126" s="17" t="s">
        <v>790</v>
      </c>
      <c r="B126" s="18" t="s">
        <v>791</v>
      </c>
      <c r="C126" s="14" t="s">
        <v>792</v>
      </c>
      <c r="D126" s="14"/>
      <c r="E126" s="19">
        <v>15086.78</v>
      </c>
      <c r="F126" s="20">
        <v>1737.8472999999999</v>
      </c>
      <c r="G126" s="21">
        <v>2.5000000000000001E-3</v>
      </c>
      <c r="H126" s="22"/>
      <c r="I126" s="23"/>
    </row>
    <row r="127" spans="1:9" ht="12.9" customHeight="1">
      <c r="A127" s="5"/>
      <c r="B127" s="13" t="s">
        <v>88</v>
      </c>
      <c r="C127" s="14"/>
      <c r="D127" s="14"/>
      <c r="E127" s="14"/>
      <c r="F127" s="24">
        <v>1737.8472999999999</v>
      </c>
      <c r="G127" s="25">
        <v>2.5000000000000001E-3</v>
      </c>
      <c r="H127" s="26"/>
      <c r="I127" s="27"/>
    </row>
    <row r="128" spans="1:9" ht="12.9" customHeight="1">
      <c r="A128" s="5"/>
      <c r="B128" s="28" t="s">
        <v>91</v>
      </c>
      <c r="C128" s="29"/>
      <c r="D128" s="2"/>
      <c r="E128" s="29"/>
      <c r="F128" s="24">
        <v>1737.8472999999999</v>
      </c>
      <c r="G128" s="25">
        <v>2.5000000000000001E-3</v>
      </c>
      <c r="H128" s="26"/>
      <c r="I128" s="27"/>
    </row>
    <row r="129" spans="1:9" ht="12.9" customHeight="1">
      <c r="A129" s="5"/>
      <c r="B129" s="13" t="s">
        <v>92</v>
      </c>
      <c r="C129" s="14"/>
      <c r="D129" s="14"/>
      <c r="E129" s="14"/>
      <c r="F129" s="14"/>
      <c r="G129" s="14"/>
      <c r="H129" s="15"/>
      <c r="I129" s="16"/>
    </row>
    <row r="130" spans="1:9" ht="12.9" customHeight="1">
      <c r="A130" s="17" t="s">
        <v>93</v>
      </c>
      <c r="B130" s="18" t="s">
        <v>94</v>
      </c>
      <c r="C130" s="14"/>
      <c r="D130" s="14"/>
      <c r="E130" s="19"/>
      <c r="F130" s="20">
        <v>2898.28</v>
      </c>
      <c r="G130" s="21">
        <v>4.1999999999999997E-3</v>
      </c>
      <c r="H130" s="22">
        <v>5.0765166449084416E-2</v>
      </c>
      <c r="I130" s="23"/>
    </row>
    <row r="131" spans="1:9" ht="12.9" customHeight="1">
      <c r="A131" s="5"/>
      <c r="B131" s="13" t="s">
        <v>88</v>
      </c>
      <c r="C131" s="14"/>
      <c r="D131" s="14"/>
      <c r="E131" s="14"/>
      <c r="F131" s="24">
        <v>2898.28</v>
      </c>
      <c r="G131" s="25">
        <v>4.1999999999999997E-3</v>
      </c>
      <c r="H131" s="26"/>
      <c r="I131" s="27"/>
    </row>
    <row r="132" spans="1:9" ht="12.9" customHeight="1">
      <c r="A132" s="5"/>
      <c r="B132" s="28" t="s">
        <v>91</v>
      </c>
      <c r="C132" s="29"/>
      <c r="D132" s="2"/>
      <c r="E132" s="29"/>
      <c r="F132" s="24">
        <v>2898.28</v>
      </c>
      <c r="G132" s="25">
        <v>4.1999999999999997E-3</v>
      </c>
      <c r="H132" s="26"/>
      <c r="I132" s="27"/>
    </row>
    <row r="133" spans="1:9" ht="12.9" customHeight="1">
      <c r="A133" s="5"/>
      <c r="B133" s="28" t="s">
        <v>96</v>
      </c>
      <c r="C133" s="14"/>
      <c r="D133" s="2"/>
      <c r="E133" s="14"/>
      <c r="F133" s="31">
        <v>10097.535400000001</v>
      </c>
      <c r="G133" s="25">
        <v>1.47E-2</v>
      </c>
      <c r="H133" s="26"/>
      <c r="I133" s="27"/>
    </row>
    <row r="134" spans="1:9" ht="12.9" customHeight="1">
      <c r="A134" s="5"/>
      <c r="B134" s="32" t="s">
        <v>97</v>
      </c>
      <c r="C134" s="33"/>
      <c r="D134" s="33"/>
      <c r="E134" s="33"/>
      <c r="F134" s="34">
        <v>687380.47</v>
      </c>
      <c r="G134" s="35">
        <v>1</v>
      </c>
      <c r="H134" s="36"/>
      <c r="I134" s="37"/>
    </row>
    <row r="135" spans="1:9" ht="12.9" customHeight="1">
      <c r="A135" s="5"/>
      <c r="B135" s="7"/>
      <c r="C135" s="5"/>
      <c r="D135" s="5"/>
      <c r="E135" s="5"/>
      <c r="F135" s="5"/>
      <c r="G135" s="5"/>
      <c r="H135" s="5"/>
      <c r="I135" s="5"/>
    </row>
    <row r="136" spans="1:9" ht="12.9" customHeight="1">
      <c r="A136" s="5"/>
      <c r="B136" s="4" t="s">
        <v>2806</v>
      </c>
      <c r="C136" s="5"/>
      <c r="D136" s="5"/>
      <c r="E136" s="5"/>
      <c r="F136" s="5"/>
      <c r="G136" s="5"/>
      <c r="H136" s="5"/>
      <c r="I136" s="5"/>
    </row>
    <row r="137" spans="1:9" ht="12.9" customHeight="1">
      <c r="A137" s="5"/>
      <c r="B137" s="4" t="s">
        <v>146</v>
      </c>
      <c r="C137" s="5"/>
      <c r="D137" s="5"/>
      <c r="E137" s="5"/>
      <c r="F137" s="5"/>
      <c r="G137" s="5"/>
      <c r="H137" s="5"/>
      <c r="I137" s="5"/>
    </row>
    <row r="138" spans="1:9" ht="12.9" customHeight="1">
      <c r="A138" s="5"/>
      <c r="B138" s="4" t="s">
        <v>98</v>
      </c>
      <c r="C138" s="5"/>
      <c r="D138" s="5"/>
      <c r="E138" s="5"/>
      <c r="F138" s="5"/>
      <c r="G138" s="5"/>
      <c r="H138" s="5"/>
      <c r="I138" s="5"/>
    </row>
    <row r="139" spans="1:9" ht="12.9" customHeight="1">
      <c r="A139" s="5"/>
      <c r="B139" s="4" t="s">
        <v>99</v>
      </c>
      <c r="C139" s="5"/>
      <c r="D139" s="5"/>
      <c r="E139" s="5"/>
      <c r="F139" s="5"/>
      <c r="G139" s="5"/>
      <c r="H139" s="5"/>
      <c r="I139" s="5"/>
    </row>
    <row r="140" spans="1:9" ht="26.1" customHeight="1">
      <c r="A140" s="5"/>
      <c r="B140" s="50" t="s">
        <v>100</v>
      </c>
      <c r="C140" s="50"/>
      <c r="D140" s="50"/>
      <c r="E140" s="50"/>
      <c r="F140" s="50"/>
      <c r="G140" s="50"/>
      <c r="H140" s="50"/>
      <c r="I140" s="50"/>
    </row>
    <row r="141" spans="1:9" ht="12.9" customHeight="1">
      <c r="A141" s="5"/>
      <c r="B141" s="50" t="s">
        <v>101</v>
      </c>
      <c r="C141" s="50"/>
      <c r="D141" s="50"/>
      <c r="E141" s="50"/>
      <c r="F141" s="50"/>
      <c r="G141" s="50"/>
      <c r="H141" s="50"/>
      <c r="I141" s="50"/>
    </row>
    <row r="142" spans="1:9" ht="12.9" customHeight="1">
      <c r="A142" s="5"/>
      <c r="B142" s="50"/>
      <c r="C142" s="50"/>
      <c r="D142" s="50"/>
      <c r="E142" s="50"/>
      <c r="F142" s="50"/>
      <c r="G142" s="50"/>
      <c r="H142" s="50"/>
      <c r="I142" s="50"/>
    </row>
    <row r="143" spans="1:9" ht="12.9" customHeight="1">
      <c r="A143" s="5"/>
      <c r="B143" s="50"/>
      <c r="C143" s="50"/>
      <c r="D143" s="50"/>
      <c r="E143" s="50"/>
      <c r="F143" s="50"/>
      <c r="G143" s="50"/>
      <c r="H143" s="50"/>
      <c r="I143" s="50"/>
    </row>
    <row r="144" spans="1:9" ht="12.9" customHeight="1">
      <c r="A144" s="5"/>
      <c r="B144" s="5"/>
      <c r="C144" s="51" t="s">
        <v>3061</v>
      </c>
      <c r="D144" s="51"/>
      <c r="E144" s="51"/>
      <c r="F144" s="51"/>
      <c r="G144" s="5"/>
      <c r="H144" s="5"/>
      <c r="I144" s="5"/>
    </row>
    <row r="145" spans="1:9" ht="12.9" customHeight="1">
      <c r="A145" s="5"/>
      <c r="B145" s="38" t="s">
        <v>103</v>
      </c>
      <c r="C145" s="51" t="s">
        <v>104</v>
      </c>
      <c r="D145" s="51"/>
      <c r="E145" s="51"/>
      <c r="F145" s="51"/>
      <c r="G145" s="5"/>
      <c r="H145" s="5"/>
      <c r="I145" s="5"/>
    </row>
    <row r="146" spans="1:9" ht="135" customHeight="1">
      <c r="A146" s="5"/>
      <c r="B146" s="39"/>
      <c r="C146" s="52"/>
      <c r="D146" s="52"/>
      <c r="E146" s="5"/>
      <c r="F146" s="5"/>
      <c r="G146" s="5"/>
      <c r="H146" s="5"/>
      <c r="I146" s="5"/>
    </row>
  </sheetData>
  <mergeCells count="7">
    <mergeCell ref="B143:I143"/>
    <mergeCell ref="C144:F144"/>
    <mergeCell ref="C145:F145"/>
    <mergeCell ref="C146:D146"/>
    <mergeCell ref="B140:I140"/>
    <mergeCell ref="B141:I141"/>
    <mergeCell ref="B142:I142"/>
  </mergeCells>
  <hyperlinks>
    <hyperlink ref="A1" location="AxisUltraShortDurationFund" display="AXISUSF" xr:uid="{00000000-0004-0000-5400-000000000000}"/>
    <hyperlink ref="B1" location="AxisUltraShortDurationFund" display="Axis Ultra Short Duration Fund" xr:uid="{00000000-0004-0000-5400-000001000000}"/>
  </hyperlinks>
  <pageMargins left="0" right="0" top="0" bottom="0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E7437C19DBE4190BFF22718C8DF4C" ma:contentTypeVersion="10" ma:contentTypeDescription="Create a new document." ma:contentTypeScope="" ma:versionID="4fe45c42a6fe3377713d4afa0c482419">
  <xsd:schema xmlns:xsd="http://www.w3.org/2001/XMLSchema" xmlns:xs="http://www.w3.org/2001/XMLSchema" xmlns:p="http://schemas.microsoft.com/office/2006/metadata/properties" xmlns:ns2="ffc4132f-2142-4f18-bea6-d4ebc80b3dc9" xmlns:ns3="258a8050-ea21-4376-b9d8-783a4a4ae638" targetNamespace="http://schemas.microsoft.com/office/2006/metadata/properties" ma:root="true" ma:fieldsID="e03541ed1c9ac89d3fdc02e093171cf9" ns2:_="" ns3:_="">
    <xsd:import namespace="ffc4132f-2142-4f18-bea6-d4ebc80b3dc9"/>
    <xsd:import namespace="258a8050-ea21-4376-b9d8-783a4a4ae6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4132f-2142-4f18-bea6-d4ebc80b3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fc7666e-d55c-42e6-98c7-52deeb412a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a8050-ea21-4376-b9d8-783a4a4ae6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b7e92c0-af87-4ab1-b573-98a071ab552d}" ma:internalName="TaxCatchAll" ma:showField="CatchAllData" ma:web="258a8050-ea21-4376-b9d8-783a4a4ae6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8a8050-ea21-4376-b9d8-783a4a4ae638" xsi:nil="true"/>
    <lcf76f155ced4ddcb4097134ff3c332f xmlns="ffc4132f-2142-4f18-bea6-d4ebc80b3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038414-5B0B-4261-9839-C426DE9EE8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FACD10-E2D7-4298-8833-ACE79A0381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c4132f-2142-4f18-bea6-d4ebc80b3dc9"/>
    <ds:schemaRef ds:uri="258a8050-ea21-4376-b9d8-783a4a4ae6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3A68B0-D021-42C5-8FFA-99A9BD4BF4E2}">
  <ds:schemaRefs>
    <ds:schemaRef ds:uri="http://schemas.microsoft.com/office/2006/metadata/properties"/>
    <ds:schemaRef ds:uri="http://schemas.microsoft.com/office/infopath/2007/PartnerControls"/>
    <ds:schemaRef ds:uri="258a8050-ea21-4376-b9d8-783a4a4ae638"/>
    <ds:schemaRef ds:uri="ffc4132f-2142-4f18-bea6-d4ebc80b3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65</vt:i4>
      </vt:variant>
    </vt:vector>
  </HeadingPairs>
  <TitlesOfParts>
    <vt:vector size="98" baseType="lpstr">
      <vt:lpstr>Index</vt:lpstr>
      <vt:lpstr>AXIS112</vt:lpstr>
      <vt:lpstr>AXIS113</vt:lpstr>
      <vt:lpstr>AXISASD</vt:lpstr>
      <vt:lpstr>AXISBDF</vt:lpstr>
      <vt:lpstr>AXISCBS</vt:lpstr>
      <vt:lpstr>AXISCDL</vt:lpstr>
      <vt:lpstr>AXISCFS</vt:lpstr>
      <vt:lpstr>AXISCIB</vt:lpstr>
      <vt:lpstr>AXISCIG</vt:lpstr>
      <vt:lpstr>AXISCOF</vt:lpstr>
      <vt:lpstr>AXISCSDL</vt:lpstr>
      <vt:lpstr>AXISDBF</vt:lpstr>
      <vt:lpstr>AXISFLO</vt:lpstr>
      <vt:lpstr>AXISFSD</vt:lpstr>
      <vt:lpstr>AXISIAP</vt:lpstr>
      <vt:lpstr>AXISIFD</vt:lpstr>
      <vt:lpstr>AXISIOF</vt:lpstr>
      <vt:lpstr>AXISISF</vt:lpstr>
      <vt:lpstr>AXISLDF</vt:lpstr>
      <vt:lpstr>AXISLFA</vt:lpstr>
      <vt:lpstr>AXISM10</vt:lpstr>
      <vt:lpstr>AXISMMF</vt:lpstr>
      <vt:lpstr>AXISNHS</vt:lpstr>
      <vt:lpstr>AXISONF</vt:lpstr>
      <vt:lpstr>AXISRCP</vt:lpstr>
      <vt:lpstr>AXISSDI</vt:lpstr>
      <vt:lpstr>AXISSDL</vt:lpstr>
      <vt:lpstr>AXISSETF</vt:lpstr>
      <vt:lpstr>AXISSTF</vt:lpstr>
      <vt:lpstr>AXISTAA</vt:lpstr>
      <vt:lpstr>AXISTDB</vt:lpstr>
      <vt:lpstr>AXISUSF</vt:lpstr>
      <vt:lpstr>AxisBankingPSUDebtFund</vt:lpstr>
      <vt:lpstr>AxisConservativeHybridFund</vt:lpstr>
      <vt:lpstr>AxisCorporateBondFund</vt:lpstr>
      <vt:lpstr>AxisCreditRiskFund</vt:lpstr>
      <vt:lpstr>AxisCRISILIBX5050GiltPlusSDLJune2028IndexFund</vt:lpstr>
      <vt:lpstr>AxisCRISILIBX5050GiltPlusSDLSep2027IndexFund</vt:lpstr>
      <vt:lpstr>AxisCRISILIBXAAABondFinancialServicesSep2027IndexFund</vt:lpstr>
      <vt:lpstr>AxisCRISILIBXAAABondNBFCHFCJun2027IndexFund</vt:lpstr>
      <vt:lpstr>AxisCRISILIBXAAABondNBFCJun2027IndexFund</vt:lpstr>
      <vt:lpstr>AxisCRISILIBXFinancialServices36MonthsDebtIndexFund</vt:lpstr>
      <vt:lpstr>AxisCRISILIBXSDLJune2034DebtIndexFund</vt:lpstr>
      <vt:lpstr>AxisCRISILIBXSDLMay2027IndexFund</vt:lpstr>
      <vt:lpstr>AxisDynamicBondFund</vt:lpstr>
      <vt:lpstr>AxisFixedTermPlanSeries1121143Days</vt:lpstr>
      <vt:lpstr>AxisFixedTermPlanSeries1131228Days</vt:lpstr>
      <vt:lpstr>AxisFloaterFund</vt:lpstr>
      <vt:lpstr>AxisGiltFund</vt:lpstr>
      <vt:lpstr>AxisIncomePlusArbitrageActiveFOF</vt:lpstr>
      <vt:lpstr>AxisIncomePlusArbitragePassiveFOF</vt:lpstr>
      <vt:lpstr>AxisLiquidFund</vt:lpstr>
      <vt:lpstr>AxisLongDurationFund</vt:lpstr>
      <vt:lpstr>AxisMoneyMarketFund</vt:lpstr>
      <vt:lpstr>AxisNiftyAAABondPlusSDLApr20265050ETF</vt:lpstr>
      <vt:lpstr>AxisNiftyAAABondPlusSDLApr20265050ETFFOF</vt:lpstr>
      <vt:lpstr>AxisNIFTYSDLSeptember2026DebtIndexFund</vt:lpstr>
      <vt:lpstr>AxisOvernightFund</vt:lpstr>
      <vt:lpstr>AxisRetirementFundConservativePlan</vt:lpstr>
      <vt:lpstr>AxisShortDurationFund</vt:lpstr>
      <vt:lpstr>AxisStrategicBondFund</vt:lpstr>
      <vt:lpstr>AxisTreasuryAdvantageFund</vt:lpstr>
      <vt:lpstr>AxisUltraShortDurationFund</vt:lpstr>
      <vt:lpstr>AxisUSSpecificTreasuryDynamicDebtPassiveFOF</vt:lpstr>
      <vt:lpstr>JR_PAGE_ANCHOR_0_1</vt:lpstr>
      <vt:lpstr>JR_PAGE_ANCHOR_0_10</vt:lpstr>
      <vt:lpstr>JR_PAGE_ANCHOR_0_11</vt:lpstr>
      <vt:lpstr>JR_PAGE_ANCHOR_0_13</vt:lpstr>
      <vt:lpstr>JR_PAGE_ANCHOR_0_15</vt:lpstr>
      <vt:lpstr>JR_PAGE_ANCHOR_0_16</vt:lpstr>
      <vt:lpstr>JR_PAGE_ANCHOR_0_17</vt:lpstr>
      <vt:lpstr>JR_PAGE_ANCHOR_0_19</vt:lpstr>
      <vt:lpstr>JR_PAGE_ANCHOR_0_2</vt:lpstr>
      <vt:lpstr>JR_PAGE_ANCHOR_0_20</vt:lpstr>
      <vt:lpstr>JR_PAGE_ANCHOR_0_3</vt:lpstr>
      <vt:lpstr>JR_PAGE_ANCHOR_0_30</vt:lpstr>
      <vt:lpstr>JR_PAGE_ANCHOR_0_31</vt:lpstr>
      <vt:lpstr>JR_PAGE_ANCHOR_0_39</vt:lpstr>
      <vt:lpstr>JR_PAGE_ANCHOR_0_40</vt:lpstr>
      <vt:lpstr>JR_PAGE_ANCHOR_0_42</vt:lpstr>
      <vt:lpstr>JR_PAGE_ANCHOR_0_43</vt:lpstr>
      <vt:lpstr>JR_PAGE_ANCHOR_0_44</vt:lpstr>
      <vt:lpstr>JR_PAGE_ANCHOR_0_45</vt:lpstr>
      <vt:lpstr>JR_PAGE_ANCHOR_0_46</vt:lpstr>
      <vt:lpstr>JR_PAGE_ANCHOR_0_5</vt:lpstr>
      <vt:lpstr>JR_PAGE_ANCHOR_0_52</vt:lpstr>
      <vt:lpstr>JR_PAGE_ANCHOR_0_58</vt:lpstr>
      <vt:lpstr>JR_PAGE_ANCHOR_0_65</vt:lpstr>
      <vt:lpstr>JR_PAGE_ANCHOR_0_69</vt:lpstr>
      <vt:lpstr>JR_PAGE_ANCHOR_0_7</vt:lpstr>
      <vt:lpstr>JR_PAGE_ANCHOR_0_72</vt:lpstr>
      <vt:lpstr>JR_PAGE_ANCHOR_0_73</vt:lpstr>
      <vt:lpstr>JR_PAGE_ANCHOR_0_74</vt:lpstr>
      <vt:lpstr>JR_PAGE_ANCHOR_0_79</vt:lpstr>
      <vt:lpstr>JR_PAGE_ANCHOR_0_80</vt:lpstr>
      <vt:lpstr>JR_PAGE_ANCHOR_0_82</vt:lpstr>
      <vt:lpstr>JR_PAGE_ANCHOR_0_85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2025-12-17T14:47:42Z</dcterms:created>
  <dcterms:modified xsi:type="dcterms:W3CDTF">2025-12-27T08:41:37Z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0x010100DBFE7437C19DBE4190BFF22718C8DF4C</vt:lpwstr>
  </property>
  <property fmtid="{D5CDD505-2E9C-101B-9397-08002B2CF9AE}" pid="3" name="MSIP_Label_af1741f6-9e47-426e-a683-937c37d4ebc5_Enabled">
    <vt:lpwstr>True</vt:lpwstr>
  </property>
  <property fmtid="{D5CDD505-2E9C-101B-9397-08002B2CF9AE}" pid="4" name="MSIP_Label_af1741f6-9e47-426e-a683-937c37d4ebc5_SiteId">
    <vt:lpwstr>1e9b61e8-e590-4abc-b1af-24125e330d2a</vt:lpwstr>
  </property>
  <property fmtid="{D5CDD505-2E9C-101B-9397-08002B2CF9AE}" pid="5" name="MSIP_Label_af1741f6-9e47-426e-a683-937c37d4ebc5_SetDate">
    <vt:lpwstr>2025-12-16T07:28:02Z</vt:lpwstr>
  </property>
  <property fmtid="{D5CDD505-2E9C-101B-9397-08002B2CF9AE}" pid="6" name="MSIP_Label_af1741f6-9e47-426e-a683-937c37d4ebc5_Name">
    <vt:lpwstr>For internal use only</vt:lpwstr>
  </property>
  <property fmtid="{D5CDD505-2E9C-101B-9397-08002B2CF9AE}" pid="7" name="MSIP_Label_af1741f6-9e47-426e-a683-937c37d4ebc5_ActionId">
    <vt:lpwstr>ccea6bd8-eb7c-4e0e-8d92-da2b2e194e9a</vt:lpwstr>
  </property>
  <property fmtid="{D5CDD505-2E9C-101B-9397-08002B2CF9AE}" pid="8" name="MSIP_Label_af1741f6-9e47-426e-a683-937c37d4ebc5_Removed">
    <vt:lpwstr>False</vt:lpwstr>
  </property>
  <property fmtid="{D5CDD505-2E9C-101B-9397-08002B2CF9AE}" pid="9" name="MSIP_Label_af1741f6-9e47-426e-a683-937c37d4ebc5_Extended_MSFT_Method">
    <vt:lpwstr>Standard</vt:lpwstr>
  </property>
  <property fmtid="{D5CDD505-2E9C-101B-9397-08002B2CF9AE}" pid="10" name="Sensitivity">
    <vt:lpwstr>For internal use only</vt:lpwstr>
  </property>
  <property fmtid="{D5CDD505-2E9C-101B-9397-08002B2CF9AE}" pid="11" name="MediaServiceImageTags">
    <vt:lpwstr/>
  </property>
</Properties>
</file>